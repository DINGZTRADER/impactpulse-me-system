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redaritchie/Downloads/"/>
    </mc:Choice>
  </mc:AlternateContent>
  <xr:revisionPtr revIDLastSave="0" documentId="13_ncr:1_{7892B145-6093-7449-8F04-E45E14FD04D2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📊 Dashboard" sheetId="1" r:id="rId1"/>
    <sheet name="📋 Client Intake" sheetId="2" r:id="rId2"/>
    <sheet name="📊 Outcome Tracker" sheetId="3" r:id="rId3"/>
    <sheet name="🔀 Referral Tracker" sheetId="4" r:id="rId4"/>
    <sheet name="📅 Activities" sheetId="5" r:id="rId5"/>
    <sheet name="🙋 Volunteer Log" sheetId="6" r:id="rId6"/>
    <sheet name="🎓 Training Register" sheetId="7" r:id="rId7"/>
    <sheet name="📈 KPI Trends" sheetId="8" r:id="rId8"/>
    <sheet name="📝 Quarterly Report" sheetId="9" r:id="rId9"/>
    <sheet name="📖 Case Studies" sheetId="10" r:id="rId10"/>
    <sheet name="⚠ Risk Register" sheetId="11" r:id="rId11"/>
    <sheet name="⚙ Setting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/>
  <c r="H46" i="9"/>
  <c r="H45" i="9"/>
  <c r="H44" i="9"/>
  <c r="H43" i="9"/>
  <c r="H40" i="9"/>
  <c r="H39" i="9"/>
  <c r="H36" i="9"/>
  <c r="H35" i="9"/>
  <c r="H34" i="9"/>
  <c r="H33" i="9"/>
  <c r="H32" i="9"/>
  <c r="H29" i="9"/>
  <c r="H28" i="9"/>
  <c r="H27" i="9"/>
  <c r="H26" i="9"/>
  <c r="H23" i="9"/>
  <c r="H22" i="9"/>
  <c r="H21" i="9"/>
  <c r="H20" i="9"/>
  <c r="K19" i="9"/>
  <c r="H19" i="9"/>
  <c r="K16" i="9"/>
  <c r="H16" i="9"/>
  <c r="K15" i="9"/>
  <c r="H15" i="9"/>
  <c r="K14" i="9"/>
  <c r="H14" i="9"/>
  <c r="H11" i="9"/>
  <c r="H10" i="9"/>
  <c r="H9" i="9"/>
  <c r="H8" i="9"/>
  <c r="H7" i="9"/>
  <c r="H6" i="9"/>
  <c r="A3" i="9"/>
  <c r="A2" i="9"/>
  <c r="R33" i="8"/>
  <c r="Q33" i="8"/>
  <c r="P33" i="8"/>
  <c r="O33" i="8"/>
  <c r="N33" i="8"/>
  <c r="D33" i="8"/>
  <c r="C33" i="8"/>
  <c r="B33" i="8"/>
  <c r="E33" i="8" s="1"/>
  <c r="R32" i="8"/>
  <c r="Q32" i="8"/>
  <c r="P32" i="8"/>
  <c r="O32" i="8"/>
  <c r="N32" i="8"/>
  <c r="E32" i="8"/>
  <c r="D32" i="8"/>
  <c r="C32" i="8"/>
  <c r="B32" i="8"/>
  <c r="R31" i="8"/>
  <c r="Q31" i="8"/>
  <c r="P31" i="8"/>
  <c r="O31" i="8"/>
  <c r="N31" i="8"/>
  <c r="D31" i="8"/>
  <c r="C31" i="8"/>
  <c r="B31" i="8"/>
  <c r="E31" i="8" s="1"/>
  <c r="R30" i="8"/>
  <c r="Q30" i="8"/>
  <c r="P30" i="8"/>
  <c r="O30" i="8"/>
  <c r="N30" i="8"/>
  <c r="D30" i="8"/>
  <c r="E30" i="8" s="1"/>
  <c r="C30" i="8"/>
  <c r="B30" i="8"/>
  <c r="R29" i="8"/>
  <c r="Q29" i="8"/>
  <c r="P29" i="8"/>
  <c r="O29" i="8"/>
  <c r="N29" i="8"/>
  <c r="E29" i="8"/>
  <c r="D29" i="8"/>
  <c r="C29" i="8"/>
  <c r="B29" i="8"/>
  <c r="R10" i="8"/>
  <c r="Q10" i="8"/>
  <c r="P10" i="8"/>
  <c r="O10" i="8"/>
  <c r="N10" i="8"/>
  <c r="R9" i="8"/>
  <c r="Q9" i="8"/>
  <c r="P9" i="8"/>
  <c r="O9" i="8"/>
  <c r="N9" i="8"/>
  <c r="R8" i="8"/>
  <c r="Q8" i="8"/>
  <c r="P8" i="8"/>
  <c r="O8" i="8"/>
  <c r="N8" i="8"/>
  <c r="R7" i="8"/>
  <c r="Q7" i="8"/>
  <c r="P7" i="8"/>
  <c r="O7" i="8"/>
  <c r="N7" i="8"/>
  <c r="K7" i="8"/>
  <c r="I7" i="8"/>
  <c r="G7" i="8"/>
  <c r="E7" i="8"/>
  <c r="C7" i="8"/>
  <c r="R6" i="8"/>
  <c r="Q6" i="8"/>
  <c r="P6" i="8"/>
  <c r="O6" i="8"/>
  <c r="N6" i="8"/>
  <c r="K6" i="8"/>
  <c r="I6" i="8"/>
  <c r="G6" i="8"/>
  <c r="E6" i="8"/>
  <c r="C6" i="8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Q6" i="7"/>
  <c r="M6" i="7"/>
  <c r="I6" i="7"/>
  <c r="E6" i="7"/>
  <c r="A6" i="7"/>
  <c r="M6" i="6"/>
  <c r="I6" i="6"/>
  <c r="E6" i="6"/>
  <c r="A6" i="6"/>
  <c r="H14" i="5"/>
  <c r="H13" i="5"/>
  <c r="H12" i="5"/>
  <c r="H11" i="5"/>
  <c r="H10" i="5"/>
  <c r="H9" i="5"/>
  <c r="H8" i="5"/>
  <c r="H7" i="5"/>
  <c r="H6" i="5"/>
  <c r="H5" i="5"/>
  <c r="O22" i="4"/>
  <c r="N22" i="4"/>
  <c r="M22" i="4"/>
  <c r="L22" i="4"/>
  <c r="K22" i="4"/>
  <c r="E22" i="4"/>
  <c r="H22" i="4" s="1"/>
  <c r="O21" i="4"/>
  <c r="N21" i="4"/>
  <c r="M21" i="4"/>
  <c r="L21" i="4"/>
  <c r="K21" i="4"/>
  <c r="E21" i="4"/>
  <c r="H21" i="4" s="1"/>
  <c r="O20" i="4"/>
  <c r="N20" i="4"/>
  <c r="M20" i="4"/>
  <c r="L20" i="4"/>
  <c r="K20" i="4"/>
  <c r="E20" i="4"/>
  <c r="O19" i="4"/>
  <c r="N19" i="4"/>
  <c r="M19" i="4"/>
  <c r="L19" i="4"/>
  <c r="K19" i="4"/>
  <c r="E19" i="4"/>
  <c r="O18" i="4"/>
  <c r="N18" i="4"/>
  <c r="M18" i="4"/>
  <c r="L18" i="4"/>
  <c r="K18" i="4"/>
  <c r="E18" i="4"/>
  <c r="O17" i="4"/>
  <c r="N17" i="4"/>
  <c r="M17" i="4"/>
  <c r="L17" i="4"/>
  <c r="K17" i="4"/>
  <c r="E17" i="4"/>
  <c r="O16" i="4"/>
  <c r="N16" i="4"/>
  <c r="M16" i="4"/>
  <c r="L16" i="4"/>
  <c r="K16" i="4"/>
  <c r="E16" i="4"/>
  <c r="H16" i="4" s="1"/>
  <c r="O15" i="4"/>
  <c r="N15" i="4"/>
  <c r="M15" i="4"/>
  <c r="L15" i="4"/>
  <c r="K15" i="4"/>
  <c r="E15" i="4"/>
  <c r="O14" i="4"/>
  <c r="N14" i="4"/>
  <c r="M14" i="4"/>
  <c r="L14" i="4"/>
  <c r="K14" i="4"/>
  <c r="E14" i="4"/>
  <c r="H14" i="4" s="1"/>
  <c r="O13" i="4"/>
  <c r="N13" i="4"/>
  <c r="M13" i="4"/>
  <c r="L13" i="4"/>
  <c r="K13" i="4"/>
  <c r="E13" i="4"/>
  <c r="H13" i="4" s="1"/>
  <c r="O12" i="4"/>
  <c r="N12" i="4"/>
  <c r="M12" i="4"/>
  <c r="L12" i="4"/>
  <c r="K12" i="4"/>
  <c r="E12" i="4"/>
  <c r="O11" i="4"/>
  <c r="N11" i="4"/>
  <c r="M11" i="4"/>
  <c r="L11" i="4"/>
  <c r="K11" i="4"/>
  <c r="E11" i="4"/>
  <c r="O10" i="4"/>
  <c r="N10" i="4"/>
  <c r="M10" i="4"/>
  <c r="L10" i="4"/>
  <c r="K10" i="4"/>
  <c r="E10" i="4"/>
  <c r="O9" i="4"/>
  <c r="N9" i="4"/>
  <c r="M9" i="4"/>
  <c r="L9" i="4"/>
  <c r="K9" i="4"/>
  <c r="E9" i="4"/>
  <c r="O8" i="4"/>
  <c r="N8" i="4"/>
  <c r="M8" i="4"/>
  <c r="L8" i="4"/>
  <c r="K8" i="4"/>
  <c r="E8" i="4"/>
  <c r="H8" i="4" s="1"/>
  <c r="O7" i="4"/>
  <c r="N7" i="4"/>
  <c r="M7" i="4"/>
  <c r="L7" i="4"/>
  <c r="K7" i="4"/>
  <c r="E7" i="4"/>
  <c r="O6" i="4"/>
  <c r="N6" i="4"/>
  <c r="M6" i="4"/>
  <c r="L6" i="4"/>
  <c r="K6" i="4"/>
  <c r="E6" i="4"/>
  <c r="H19" i="4" s="1"/>
  <c r="H1012" i="3"/>
  <c r="G1012" i="3"/>
  <c r="F1012" i="3"/>
  <c r="E1012" i="3"/>
  <c r="I1012" i="3" s="1"/>
  <c r="H1011" i="3"/>
  <c r="G1011" i="3"/>
  <c r="F1011" i="3"/>
  <c r="E1011" i="3"/>
  <c r="I1011" i="3" s="1"/>
  <c r="I1010" i="3"/>
  <c r="H1010" i="3"/>
  <c r="G1010" i="3"/>
  <c r="F1010" i="3"/>
  <c r="E1010" i="3"/>
  <c r="H1009" i="3"/>
  <c r="G1009" i="3"/>
  <c r="F1009" i="3"/>
  <c r="E1009" i="3"/>
  <c r="I1009" i="3" s="1"/>
  <c r="H1008" i="3"/>
  <c r="G1008" i="3"/>
  <c r="F1008" i="3"/>
  <c r="I1008" i="3" s="1"/>
  <c r="E1008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E8" i="10" s="1"/>
  <c r="S45" i="1"/>
  <c r="M45" i="1"/>
  <c r="G45" i="1"/>
  <c r="A45" i="1"/>
  <c r="S40" i="1"/>
  <c r="M40" i="1"/>
  <c r="G40" i="1"/>
  <c r="A40" i="1"/>
  <c r="R35" i="1"/>
  <c r="I35" i="1"/>
  <c r="A35" i="1"/>
  <c r="Y30" i="1"/>
  <c r="W30" i="1"/>
  <c r="T30" i="1"/>
  <c r="Q30" i="1"/>
  <c r="N30" i="1"/>
  <c r="K30" i="1"/>
  <c r="G30" i="1"/>
  <c r="D30" i="1"/>
  <c r="A30" i="1"/>
  <c r="Z25" i="1"/>
  <c r="X25" i="1"/>
  <c r="U25" i="1"/>
  <c r="R25" i="1"/>
  <c r="O25" i="1"/>
  <c r="L25" i="1"/>
  <c r="Z24" i="1"/>
  <c r="X24" i="1"/>
  <c r="U24" i="1"/>
  <c r="R24" i="1"/>
  <c r="O24" i="1"/>
  <c r="L24" i="1"/>
  <c r="Z23" i="1"/>
  <c r="X23" i="1"/>
  <c r="U23" i="1"/>
  <c r="R23" i="1"/>
  <c r="O23" i="1"/>
  <c r="L23" i="1"/>
  <c r="Z22" i="1"/>
  <c r="X22" i="1"/>
  <c r="U22" i="1"/>
  <c r="R22" i="1"/>
  <c r="O22" i="1"/>
  <c r="L22" i="1"/>
  <c r="Z21" i="1"/>
  <c r="X21" i="1"/>
  <c r="U21" i="1"/>
  <c r="R21" i="1"/>
  <c r="O21" i="1"/>
  <c r="L21" i="1"/>
  <c r="M17" i="1"/>
  <c r="I17" i="1"/>
  <c r="E17" i="1"/>
  <c r="A17" i="1"/>
  <c r="U15" i="1"/>
  <c r="U17" i="1" s="1"/>
  <c r="Q15" i="1"/>
  <c r="Q17" i="1" s="1"/>
  <c r="M15" i="1"/>
  <c r="I15" i="1"/>
  <c r="E15" i="1"/>
  <c r="A15" i="1"/>
  <c r="U9" i="1"/>
  <c r="P9" i="1"/>
  <c r="K9" i="1"/>
  <c r="F9" i="1"/>
  <c r="A9" i="1"/>
  <c r="U6" i="1"/>
  <c r="P6" i="1"/>
  <c r="K6" i="1"/>
  <c r="F6" i="1"/>
  <c r="A6" i="1"/>
  <c r="H10" i="4" l="1"/>
  <c r="H18" i="4"/>
  <c r="E9" i="10"/>
  <c r="H9" i="4"/>
  <c r="H17" i="4"/>
  <c r="E10" i="10"/>
  <c r="E23" i="4"/>
  <c r="E11" i="10"/>
  <c r="H7" i="4"/>
  <c r="H15" i="4"/>
  <c r="E12" i="10"/>
  <c r="H6" i="4"/>
  <c r="E13" i="10"/>
  <c r="E6" i="10"/>
  <c r="E14" i="10"/>
  <c r="H12" i="4"/>
  <c r="H20" i="4"/>
  <c r="E7" i="10"/>
  <c r="E15" i="10"/>
  <c r="H11" i="4"/>
</calcChain>
</file>

<file path=xl/sharedStrings.xml><?xml version="1.0" encoding="utf-8"?>
<sst xmlns="http://schemas.openxmlformats.org/spreadsheetml/2006/main" count="1069" uniqueCount="582">
  <si>
    <t>HATE CRIME SUPPORT PROJECT  |  WEST LONDON EQUALITY CENTRE  |  City Bridge Foundation</t>
  </si>
  <si>
    <t>Nov 2025 – Oct 2030  |  £480,801  |  5-Year Monitoring Dashboard  |  All figures update automatically from data sheets</t>
  </si>
  <si>
    <t>⚡  FUNDER QUICK-ANSWER PANEL  —  Instant answers to common funder questions</t>
  </si>
  <si>
    <t>Total Clients
to Date</t>
  </si>
  <si>
    <t>% from Ealing</t>
  </si>
  <si>
    <t>Active Cases</t>
  </si>
  <si>
    <t>% Under 25</t>
  </si>
  <si>
    <t>% of 5-Year
Target Met</t>
  </si>
  <si>
    <t>% from Hillingdon</t>
  </si>
  <si>
    <t>% from Hounslow</t>
  </si>
  <si>
    <t>% Female</t>
  </si>
  <si>
    <t>High Risk Cases</t>
  </si>
  <si>
    <t>Referrals This
Quarter</t>
  </si>
  <si>
    <t>5-YEAR PROGRESS TRACKER  —  Cases handled vs target per year</t>
  </si>
  <si>
    <t>Year 1
(2025-26)</t>
  </si>
  <si>
    <t>Year 2
(2026-27)</t>
  </si>
  <si>
    <t>Year 3
(2027-28)</t>
  </si>
  <si>
    <t>Year 4
(2028-29)</t>
  </si>
  <si>
    <t>Year 5
(2029-30)</t>
  </si>
  <si>
    <t>Total
(5 Years)</t>
  </si>
  <si>
    <t>Target: 50</t>
  </si>
  <si>
    <t>Target: 100</t>
  </si>
  <si>
    <t>Target: 150</t>
  </si>
  <si>
    <t>Target: 200</t>
  </si>
  <si>
    <t>Target: 250</t>
  </si>
  <si>
    <t>Target: 750</t>
  </si>
  <si>
    <t>Note: Targets shown above are CUMULATIVE 5-year totals. Annual target: 50 cases per year.</t>
  </si>
  <si>
    <t>OUTCOME PERFORMANCE TRACKER  —  5 Key Outcomes  |  Updates live from Outcome Tracker</t>
  </si>
  <si>
    <t>Outcome</t>
  </si>
  <si>
    <t>5-Yr Target</t>
  </si>
  <si>
    <t>Yr 1</t>
  </si>
  <si>
    <t>Yr 2</t>
  </si>
  <si>
    <t>Yr 3</t>
  </si>
  <si>
    <t>Yr 4</t>
  </si>
  <si>
    <t>Yr 5</t>
  </si>
  <si>
    <t>% Met</t>
  </si>
  <si>
    <t>Improved access to legal advice &amp; casework support</t>
  </si>
  <si>
    <t>80% reporting better access</t>
  </si>
  <si>
    <t>Empowered victims — confidence to report hate crime</t>
  </si>
  <si>
    <t>60% increase in reporting</t>
  </si>
  <si>
    <t>Strengthened collaboration among stakeholders</t>
  </si>
  <si>
    <t>20 formal partnerships</t>
  </si>
  <si>
    <t>Increased awareness of HC reporting &amp; prevention</t>
  </si>
  <si>
    <t>85% report increased knowledge</t>
  </si>
  <si>
    <t>Sustainable community-led solutions</t>
  </si>
  <si>
    <t>10 grassroots-led initiatives</t>
  </si>
  <si>
    <t>LIVE CLIENT BREAKDOWN  —  Auto-calculated from Client Intake</t>
  </si>
  <si>
    <t>CLIENTS BY BOROUGH</t>
  </si>
  <si>
    <t>BY AGE GROUP</t>
  </si>
  <si>
    <t>BY GENDER</t>
  </si>
  <si>
    <t>Ealing</t>
  </si>
  <si>
    <t>Hillingdon</t>
  </si>
  <si>
    <t>Hounslow</t>
  </si>
  <si>
    <t>Under 25</t>
  </si>
  <si>
    <t>25-49</t>
  </si>
  <si>
    <t>50+</t>
  </si>
  <si>
    <t>Female</t>
  </si>
  <si>
    <t>Male</t>
  </si>
  <si>
    <t>Non-binary/Other</t>
  </si>
  <si>
    <t>RISK LEVELS  —  Live from Client Intake</t>
  </si>
  <si>
    <t>High Risk</t>
  </si>
  <si>
    <t>Medium Risk</t>
  </si>
  <si>
    <t>Low Risk</t>
  </si>
  <si>
    <t>QUARTERLY SNAPSHOT  —  Set dates in ⚙ Settings tab</t>
  </si>
  <si>
    <t>Clients This
Quarter</t>
  </si>
  <si>
    <t>Activities This
Quarter</t>
  </si>
  <si>
    <t>Cases Closed
This Quarter</t>
  </si>
  <si>
    <t>New Referrals
This Quarter</t>
  </si>
  <si>
    <t>VOLUNTEERS &amp; TRAINING  —  Live from Volunteer Log</t>
  </si>
  <si>
    <t>Active
Volunteers</t>
  </si>
  <si>
    <t>Total Hours
Volunteered</t>
  </si>
  <si>
    <t>Fully Trained
Volunteers</t>
  </si>
  <si>
    <t>Training Sessions
Delivered</t>
  </si>
  <si>
    <t>CLIENT INTAKE FORM  |  Hate Crime Support Project  |  WLEC</t>
  </si>
  <si>
    <t>Record full client profile at START of journey. One row per client. Use 📊 Outcome Tracker to log progress at any point during the project.</t>
  </si>
  <si>
    <t>ℹ️  All dropdown fields are required for dashboard reporting. Client Ref auto-generates as HC/1, HC/2 etc. Full Name column is for internal use only — treat as confidential.</t>
  </si>
  <si>
    <t>NATURE OF INCIDENT — tick all that apply</t>
  </si>
  <si>
    <t>Client Ref
(Auto)</t>
  </si>
  <si>
    <t>Full Name</t>
  </si>
  <si>
    <t>Initials /
Anonymised ID</t>
  </si>
  <si>
    <t>Caseworker /
Support Worker</t>
  </si>
  <si>
    <t>Date
Referred</t>
  </si>
  <si>
    <t>Case Status</t>
  </si>
  <si>
    <t>Borough</t>
  </si>
  <si>
    <t>Referral
Source</t>
  </si>
  <si>
    <t>Age Group</t>
  </si>
  <si>
    <t>Gender
Identity</t>
  </si>
  <si>
    <t>Ethnic
Origin</t>
  </si>
  <si>
    <t>Religion</t>
  </si>
  <si>
    <t>Risk Level</t>
  </si>
  <si>
    <t>Type of Hate
Crime</t>
  </si>
  <si>
    <t>Harassment
/ASB</t>
  </si>
  <si>
    <t>Verbal
Abuse</t>
  </si>
  <si>
    <t>Physical
Assault</t>
  </si>
  <si>
    <t>Criminal
Damage</t>
  </si>
  <si>
    <t>Online
Abuse</t>
  </si>
  <si>
    <t>Stalking</t>
  </si>
  <si>
    <t>Hate
Incident</t>
  </si>
  <si>
    <t>Other
Incident</t>
  </si>
  <si>
    <t>Reported
to Police?</t>
  </si>
  <si>
    <t>First
Language</t>
  </si>
  <si>
    <t>Sexual
Orientation</t>
  </si>
  <si>
    <t>Disability /
Medical Condition</t>
  </si>
  <si>
    <t>Housing
Situation</t>
  </si>
  <si>
    <t>Project
Year</t>
  </si>
  <si>
    <t>Presenting Issue
(Brief Description)</t>
  </si>
  <si>
    <t>Freda Ritchie 1</t>
  </si>
  <si>
    <t>FR1</t>
  </si>
  <si>
    <t>Omer Ul-haque</t>
  </si>
  <si>
    <t>Active</t>
  </si>
  <si>
    <t>Other</t>
  </si>
  <si>
    <t>26-55</t>
  </si>
  <si>
    <t>White: British</t>
  </si>
  <si>
    <t>Prefer not to say</t>
  </si>
  <si>
    <t>High</t>
  </si>
  <si>
    <t>Homophobic</t>
  </si>
  <si>
    <t>✓</t>
  </si>
  <si>
    <t>Yes – no action taken</t>
  </si>
  <si>
    <t>English</t>
  </si>
  <si>
    <t>Do not wish to state</t>
  </si>
  <si>
    <t>Mental Health</t>
  </si>
  <si>
    <t>Year 1</t>
  </si>
  <si>
    <t xml:space="preserve">Homophobia, within shared accomodation, issues with other tenant. </t>
  </si>
  <si>
    <t>Freda Ritchie 2</t>
  </si>
  <si>
    <t>FR2</t>
  </si>
  <si>
    <t>Paula Howell</t>
  </si>
  <si>
    <t>Self-Referral</t>
  </si>
  <si>
    <t>18-25</t>
  </si>
  <si>
    <t>Black: Caribbean</t>
  </si>
  <si>
    <t>Christian</t>
  </si>
  <si>
    <t>Medium</t>
  </si>
  <si>
    <t>Racial</t>
  </si>
  <si>
    <t>No</t>
  </si>
  <si>
    <t>Straight</t>
  </si>
  <si>
    <t>None</t>
  </si>
  <si>
    <t>Social housing</t>
  </si>
  <si>
    <t>Racial abuse from neighbour, ongoing over 6 months.</t>
  </si>
  <si>
    <t>Freda Ritchie 3</t>
  </si>
  <si>
    <t>FR3</t>
  </si>
  <si>
    <t>Reena Malhan</t>
  </si>
  <si>
    <t>MPS (Police)</t>
  </si>
  <si>
    <t>Asian: Pakistani</t>
  </si>
  <si>
    <t>Muslim</t>
  </si>
  <si>
    <t>Religious</t>
  </si>
  <si>
    <t>Yes</t>
  </si>
  <si>
    <t>Owner occupier</t>
  </si>
  <si>
    <t>Religiously motivated harassment at workplace.</t>
  </si>
  <si>
    <t>Freda Ritchie 4</t>
  </si>
  <si>
    <t>FR4</t>
  </si>
  <si>
    <t>Closed</t>
  </si>
  <si>
    <t>Citizens Advice</t>
  </si>
  <si>
    <t>55-65</t>
  </si>
  <si>
    <t>White: Irish</t>
  </si>
  <si>
    <t>No religion</t>
  </si>
  <si>
    <t>Low</t>
  </si>
  <si>
    <t>Disability</t>
  </si>
  <si>
    <t>Mobility</t>
  </si>
  <si>
    <t>Disability hate crime — verbal abuse on public transport.</t>
  </si>
  <si>
    <t>Freda Ritchie 5</t>
  </si>
  <si>
    <t>FR5</t>
  </si>
  <si>
    <t>Victim Support</t>
  </si>
  <si>
    <t>Under 18</t>
  </si>
  <si>
    <t>Non-binary</t>
  </si>
  <si>
    <t>Mixed: White/Asian</t>
  </si>
  <si>
    <t>Buddhist</t>
  </si>
  <si>
    <t>Not Sure</t>
  </si>
  <si>
    <t>Year 2</t>
  </si>
  <si>
    <t>Homophobic bullying at school, online threats via social media.</t>
  </si>
  <si>
    <t>Freda Ritchie 6</t>
  </si>
  <si>
    <t>FR6</t>
  </si>
  <si>
    <t>Hillingdon Refugee Support Organisation</t>
  </si>
  <si>
    <t>Middle Eastern</t>
  </si>
  <si>
    <t>Unknown</t>
  </si>
  <si>
    <t>Temporary/hostel</t>
  </si>
  <si>
    <t>Racial and religious hate crime, client is asylum seeker.</t>
  </si>
  <si>
    <t>OUTCOME TRACKER  |  Hate Crime Support Project  |  WLEC</t>
  </si>
  <si>
    <t>Add a row each time you assess a client — at Intake, 3 months, 6 months, case closure, or any funder review. Multiple rows per client = full progress picture.</t>
  </si>
  <si>
    <t>ℹ️  Use same Client Ref as Client Intake. Column Q auto-scores 'Yes' responses. Dashboard counts feed from this sheet. | Greyed columns (K, L, M, O) are optional — complete when available. Core outcomes are columns E–I.</t>
  </si>
  <si>
    <t>Client Ref</t>
  </si>
  <si>
    <t>Assessment
Date</t>
  </si>
  <si>
    <t>Assessment
Stage</t>
  </si>
  <si>
    <t>Caseworker</t>
  </si>
  <si>
    <t>O1: Better Access
to Legal Support
(Y/N)</t>
  </si>
  <si>
    <t>O2: Increased
Confidence to
Report (Y/N)</t>
  </si>
  <si>
    <t>O3: Strengthened
Partnership
Engaged (Y/N)</t>
  </si>
  <si>
    <t>O4: Increased
Awareness of HC
(Y/N)</t>
  </si>
  <si>
    <t>O5: Community-Led
Solution Initiated
(Y/N)</t>
  </si>
  <si>
    <t>Satisfaction
Rating (1-5)
(Optional)</t>
  </si>
  <si>
    <t>Knowledge
Score (pre)
(Optional)</t>
  </si>
  <si>
    <t>Knowledge
Score (post)
(Optional)</t>
  </si>
  <si>
    <t>Reported to
Police? (Y/N)</t>
  </si>
  <si>
    <t>Referred to
Partner Org?
(Optional)</t>
  </si>
  <si>
    <t>Outcome
Score (Auto)</t>
  </si>
  <si>
    <t>Notes / Evidence</t>
  </si>
  <si>
    <t>HC/1</t>
  </si>
  <si>
    <t>Intake</t>
  </si>
  <si>
    <t>Client newly referred — initial legal advice provided. Confidence low.</t>
  </si>
  <si>
    <t>HC/2</t>
  </si>
  <si>
    <t>Client referred self following racial abuse. Very distressed at intake.</t>
  </si>
  <si>
    <t>HC/3</t>
  </si>
  <si>
    <t>High risk case — religious hate crime at workplace. Referred to legal team.</t>
  </si>
  <si>
    <t>HC/4</t>
  </si>
  <si>
    <t>Client aware of legal rights. Case closed after resolution with transport authority.</t>
  </si>
  <si>
    <t>3 Month Review</t>
  </si>
  <si>
    <t>Client engaged with community awareness session. Referred to Victim Support.</t>
  </si>
  <si>
    <t>Significant improvement in confidence. Legal case progressing.</t>
  </si>
  <si>
    <t>6 Month Review</t>
  </si>
  <si>
    <t>Strong progress — employer mediation successful. Referred to partnership org.</t>
  </si>
  <si>
    <t>Case Closure</t>
  </si>
  <si>
    <t>Case closed positively. Client satisfied with outcome. Transport authority issued apology.</t>
  </si>
  <si>
    <t>HC/5</t>
  </si>
  <si>
    <t>Young non-binary client — homophobic bullying and online threats. High priority.</t>
  </si>
  <si>
    <t>HC/6</t>
  </si>
  <si>
    <t>Asylum seeker — language barrier. Interpreter arranged. Complex case.</t>
  </si>
  <si>
    <t>OUTCOME ACHIEVEMENT SUMMARY — Auto-calculated</t>
  </si>
  <si>
    <t>Partial</t>
  </si>
  <si>
    <t>N/A</t>
  </si>
  <si>
    <t>Achievement %</t>
  </si>
  <si>
    <t>O1 – Better access to legal advice &amp; casework</t>
  </si>
  <si>
    <t>O2 – Increased confidence to report</t>
  </si>
  <si>
    <t>O3 – Strengthened partnership engaged</t>
  </si>
  <si>
    <t>O4 – Increased awareness of HC</t>
  </si>
  <si>
    <t>O5 – Community-led solution initiated</t>
  </si>
  <si>
    <t>REFERRAL TRACKER  |  Hate Crime Support Project  |  WLEC</t>
  </si>
  <si>
    <t>Track all incoming referrals TO the project and outgoing referrals FROM the project to partner services.</t>
  </si>
  <si>
    <t>REFERRAL SOURCE SUMMARY — Auto-calculated from log below</t>
  </si>
  <si>
    <t>Referral Source</t>
  </si>
  <si>
    <t>Count</t>
  </si>
  <si>
    <t>% of Total</t>
  </si>
  <si>
    <t>Year 3</t>
  </si>
  <si>
    <t>Year 4</t>
  </si>
  <si>
    <t>Year 5</t>
  </si>
  <si>
    <t>Age UK</t>
  </si>
  <si>
    <t>MENCAP</t>
  </si>
  <si>
    <t>Spectra</t>
  </si>
  <si>
    <t>ECIL</t>
  </si>
  <si>
    <t>Local MP / Councillor</t>
  </si>
  <si>
    <t>CATCH</t>
  </si>
  <si>
    <t>Community Security Trust</t>
  </si>
  <si>
    <t>Galop</t>
  </si>
  <si>
    <t>MARAC</t>
  </si>
  <si>
    <t>Housing Association</t>
  </si>
  <si>
    <t>Council Safer Communities</t>
  </si>
  <si>
    <t>Legal Aid Organisation</t>
  </si>
  <si>
    <t>TOTAL</t>
  </si>
  <si>
    <t>REFERRAL LOG — Add each referral below</t>
  </si>
  <si>
    <t>Date</t>
  </si>
  <si>
    <t>Initials</t>
  </si>
  <si>
    <t>Direction</t>
  </si>
  <si>
    <t>Referred By / To</t>
  </si>
  <si>
    <t>Reason</t>
  </si>
  <si>
    <t>Risk</t>
  </si>
  <si>
    <t>Date Ack'd</t>
  </si>
  <si>
    <t>Date Actioned</t>
  </si>
  <si>
    <t>Follow-up?</t>
  </si>
  <si>
    <t>Follow-up Date</t>
  </si>
  <si>
    <t>Year</t>
  </si>
  <si>
    <t>Notes</t>
  </si>
  <si>
    <t>PROJECT ACTIVITIES &amp; DELIVERABLES  |  Hate Crime Support Project  |  WLEC</t>
  </si>
  <si>
    <t>5-YEAR ACTIVITY TARGETS (from M&amp;E Framework)</t>
  </si>
  <si>
    <t>Activity</t>
  </si>
  <si>
    <t>Y1 Target</t>
  </si>
  <si>
    <t>Y2 Target</t>
  </si>
  <si>
    <t>Y3 Target</t>
  </si>
  <si>
    <t>Y4 Target</t>
  </si>
  <si>
    <t>Y5 Target</t>
  </si>
  <si>
    <t>Actual to Date</t>
  </si>
  <si>
    <t>% of Y5 Target</t>
  </si>
  <si>
    <t>Hate crime cases handled</t>
  </si>
  <si>
    <t>Awareness workshops delivered</t>
  </si>
  <si>
    <t>New volunteers recruited</t>
  </si>
  <si>
    <t>Formal agency partnerships</t>
  </si>
  <si>
    <t>Community-led initiatives</t>
  </si>
  <si>
    <t>Beneficiary surveys completed</t>
  </si>
  <si>
    <t>Training sessions delivered</t>
  </si>
  <si>
    <t>Stakeholder interviews (annual)</t>
  </si>
  <si>
    <t>Community feedback forums</t>
  </si>
  <si>
    <t>Policy recommendations published</t>
  </si>
  <si>
    <t>ACTIVITY LOG — Add each event or session below</t>
  </si>
  <si>
    <t>Activity Title</t>
  </si>
  <si>
    <t>Activity Type</t>
  </si>
  <si>
    <t>Location / Venue</t>
  </si>
  <si>
    <t>Lead Worker</t>
  </si>
  <si>
    <t>Participants</t>
  </si>
  <si>
    <t>New Referrals
Generated</t>
  </si>
  <si>
    <t>Project Year</t>
  </si>
  <si>
    <t>Outcome / Notes</t>
  </si>
  <si>
    <t>Hate Crime Awareness Workshop – Ealing</t>
  </si>
  <si>
    <t>Workshop</t>
  </si>
  <si>
    <t>Ealing Civic Centre, New Broadway</t>
  </si>
  <si>
    <t>O4: Increased Awareness of HC</t>
  </si>
  <si>
    <t>Caseworker Training Session – WLEC</t>
  </si>
  <si>
    <t>Training Session</t>
  </si>
  <si>
    <t>WLEC Office, Uxbridge Road</t>
  </si>
  <si>
    <t>O1: Better Access to Legal Support</t>
  </si>
  <si>
    <t>VOLUNTEER LOG  |  Hate Crime Support Project  |  WLEC</t>
  </si>
  <si>
    <t>Track all volunteers, their training status, hours, DBS, and activity. Numbers feed Dashboard and Quarterly Report automatically.</t>
  </si>
  <si>
    <t>⚡  VOLUNTEER SUMMARY — Auto-calculated</t>
  </si>
  <si>
    <t>Total Volunteers
Registered</t>
  </si>
  <si>
    <t>Currently Active</t>
  </si>
  <si>
    <t>Fully Trained
(All Modules)</t>
  </si>
  <si>
    <t>VOLUNTEER REGISTER — One row per volunteer</t>
  </si>
  <si>
    <t>Ref</t>
  </si>
  <si>
    <t>Role / Specialism</t>
  </si>
  <si>
    <t>Date Joined</t>
  </si>
  <si>
    <t>Borough(s)</t>
  </si>
  <si>
    <t>Training Status</t>
  </si>
  <si>
    <t>Status</t>
  </si>
  <si>
    <t>DBS Date</t>
  </si>
  <si>
    <t>DBS Expiry</t>
  </si>
  <si>
    <t>Total Hours</t>
  </si>
  <si>
    <t>Cases Supported</t>
  </si>
  <si>
    <t>Activities Led</t>
  </si>
  <si>
    <t>Languages</t>
  </si>
  <si>
    <t>Accessibility Needs</t>
  </si>
  <si>
    <t>Year Joined</t>
  </si>
  <si>
    <t>VOL-001</t>
  </si>
  <si>
    <t>Community Outreach Volunteer</t>
  </si>
  <si>
    <t>Fully Trained</t>
  </si>
  <si>
    <t>Freda Ritchie Test 1 — Volunteer since project launch</t>
  </si>
  <si>
    <t>VOL-002</t>
  </si>
  <si>
    <t>Legal Support Volunteer</t>
  </si>
  <si>
    <t>In Progress</t>
  </si>
  <si>
    <t>English, Urdu</t>
  </si>
  <si>
    <t>Freda Ritchie Test 2 — Bilingual volunteer, training modules 1-4 complete</t>
  </si>
  <si>
    <t>VOL-003</t>
  </si>
  <si>
    <t>Admin &amp; Data Support Volunteer</t>
  </si>
  <si>
    <t>Freda Ritchie Test 3 — Assists with client intake data entry</t>
  </si>
  <si>
    <t>VOL-004</t>
  </si>
  <si>
    <t>Community Liaison Volunteer</t>
  </si>
  <si>
    <t>Not Started</t>
  </si>
  <si>
    <t>English, Somali</t>
  </si>
  <si>
    <t>Freda Ritchie Test 4 — Year 2 recruit, training not yet commenced</t>
  </si>
  <si>
    <t>VOLUNTEER HOURS LOG — Record each session</t>
  </si>
  <si>
    <t>Name</t>
  </si>
  <si>
    <t>Activity / Task</t>
  </si>
  <si>
    <t>Hours</t>
  </si>
  <si>
    <t>Supervised By</t>
  </si>
  <si>
    <t>TRAINING REGISTER  |  Hate Crime Support Project  |  WLEC</t>
  </si>
  <si>
    <t>Record every training session delivered — staff, volunteers, and partner/community training.</t>
  </si>
  <si>
    <t>⚡  TRAINING SUMMARY</t>
  </si>
  <si>
    <t>Total Sessions
Delivered</t>
  </si>
  <si>
    <t>Total Participants</t>
  </si>
  <si>
    <t>Staff Trained</t>
  </si>
  <si>
    <t>Volunteers Trained</t>
  </si>
  <si>
    <t>Partners
Trained</t>
  </si>
  <si>
    <t>TRAINING SESSION LOG</t>
  </si>
  <si>
    <t>Training Title</t>
  </si>
  <si>
    <t>Topic / Content</t>
  </si>
  <si>
    <t>Audience</t>
  </si>
  <si>
    <t>Delivered By</t>
  </si>
  <si>
    <t>Location</t>
  </si>
  <si>
    <t>Method</t>
  </si>
  <si>
    <t>Pre-Assessment</t>
  </si>
  <si>
    <t>Post-Assessment</t>
  </si>
  <si>
    <t>Certificate?</t>
  </si>
  <si>
    <t>Feedback
(1-5)</t>
  </si>
  <si>
    <t>Evidence Ref</t>
  </si>
  <si>
    <t>Hate Crime Awareness &amp; Reporting (Test: Freda Ritchie 1)</t>
  </si>
  <si>
    <t>Definition of hate crime, reporting pathways, victim support</t>
  </si>
  <si>
    <t>Staff &amp; Volunteers</t>
  </si>
  <si>
    <t>Freda Ritchie</t>
  </si>
  <si>
    <t>In-person</t>
  </si>
  <si>
    <t>HCSP-TR-001</t>
  </si>
  <si>
    <t>Freda Ritchie Test 1 — Workshop linked to awareness campaign</t>
  </si>
  <si>
    <t>Caseworker Skills Training (Test: Freda Ritchie 2)</t>
  </si>
  <si>
    <t>Case recording, outcome measurement, client confidentiality</t>
  </si>
  <si>
    <t>Staff</t>
  </si>
  <si>
    <t>HCSP-TR-002</t>
  </si>
  <si>
    <t>Freda Ritchie Test 2 — Internal staff training on M&amp;E system</t>
  </si>
  <si>
    <t>Online Safety &amp; Cyber Hate (Test: Freda Ritchie 3)</t>
  </si>
  <si>
    <t>Online hate crime, evidence gathering, reporting to platforms</t>
  </si>
  <si>
    <t>Community &amp; Volunteers</t>
  </si>
  <si>
    <t>Zoom (Online)</t>
  </si>
  <si>
    <t>Other West London</t>
  </si>
  <si>
    <t>Online</t>
  </si>
  <si>
    <t>HCSP-TR-003</t>
  </si>
  <si>
    <t>Freda Ritchie Test 3 — Follow-up session planned for Q3</t>
  </si>
  <si>
    <t>Partnership &amp; Referral Pathways (Test: Freda Ritchie 4)</t>
  </si>
  <si>
    <t>Working with statutory agencies, referral protocols, data sharing</t>
  </si>
  <si>
    <t>Staff &amp; Partners</t>
  </si>
  <si>
    <t>Hillingdon Civic Centre</t>
  </si>
  <si>
    <t>HCSP-TR-004</t>
  </si>
  <si>
    <t>Freda Ritchie Test 4 — Year 2 partner agency training</t>
  </si>
  <si>
    <t>VOLUNTEER TRAINING COMPLETION MATRIX — ✅ = Complete  ⬜ = Outstanding</t>
  </si>
  <si>
    <t>Volunteer Name</t>
  </si>
  <si>
    <t>HC Law &amp;
Legislation</t>
  </si>
  <si>
    <t>Safeguarding</t>
  </si>
  <si>
    <t>Unconscious
Bias</t>
  </si>
  <si>
    <t>Trauma-
Informed</t>
  </si>
  <si>
    <t>GDPR / Data
Protection</t>
  </si>
  <si>
    <t>Community
Trigger</t>
  </si>
  <si>
    <t>LGBTQI+
Awareness</t>
  </si>
  <si>
    <t>Disability
HC</t>
  </si>
  <si>
    <t>% Complete</t>
  </si>
  <si>
    <t>⬜</t>
  </si>
  <si>
    <t>KPI TREND CHARTS  |  5-Year Progress  |  Hate Crime Support Project  |  WLEC</t>
  </si>
  <si>
    <t>Update yellow cells with actual data each year/quarter. Charts update automatically. Use for funder reports and annual reviews.</t>
  </si>
  <si>
    <t>TABLE 1 — Cases Handled Per Year vs Target</t>
  </si>
  <si>
    <t>TABLE 2 — Outcome Achievement Per Year (% of beneficiaries)</t>
  </si>
  <si>
    <t>Metric</t>
  </si>
  <si>
    <t>Y1 Actual</t>
  </si>
  <si>
    <t>Y2 Actual</t>
  </si>
  <si>
    <t>Y3 Actual</t>
  </si>
  <si>
    <t>Y4 Actual</t>
  </si>
  <si>
    <t>Y5 Actual</t>
  </si>
  <si>
    <t>Y1</t>
  </si>
  <si>
    <t>Y2</t>
  </si>
  <si>
    <t>Y3</t>
  </si>
  <si>
    <t>Y4</t>
  </si>
  <si>
    <t>Y5</t>
  </si>
  <si>
    <t>Cases Handled</t>
  </si>
  <si>
    <t>O1 – Better access to legal support</t>
  </si>
  <si>
    <t>80%</t>
  </si>
  <si>
    <t>Workshops Delivered</t>
  </si>
  <si>
    <t>O2 – Confident to report</t>
  </si>
  <si>
    <t>60%</t>
  </si>
  <si>
    <t>New Partnerships</t>
  </si>
  <si>
    <t>O3 – Partnership strengthened</t>
  </si>
  <si>
    <t>20%</t>
  </si>
  <si>
    <t>O4 – Increased awareness</t>
  </si>
  <si>
    <t>85%</t>
  </si>
  <si>
    <t>O5 – Community-led initiatives</t>
  </si>
  <si>
    <t>10</t>
  </si>
  <si>
    <t>TABLE 3 — Clients by Borough Per Year</t>
  </si>
  <si>
    <t>TABLE 4 — Risk Levels &amp; Reporting to Police</t>
  </si>
  <si>
    <t>Total</t>
  </si>
  <si>
    <t>Reported to Police</t>
  </si>
  <si>
    <t>Not Reported</t>
  </si>
  <si>
    <t>HATE CRIME SUPPORT PROJECT  |  WEST LONDON EQUALITY CENTRE</t>
  </si>
  <si>
    <t xml:space="preserve">  1. CLIENT NUMBERS</t>
  </si>
  <si>
    <t>New clients this quarter</t>
  </si>
  <si>
    <t>Referrals accepted in the reporting period</t>
  </si>
  <si>
    <t>Total cumulative clients (project to date)</t>
  </si>
  <si>
    <t>All clients registered since Feb 2025</t>
  </si>
  <si>
    <t>Active cases at end of quarter</t>
  </si>
  <si>
    <t>Cases closed this quarter</t>
  </si>
  <si>
    <t>High risk cases (total)</t>
  </si>
  <si>
    <t>Priority cases requiring intensive support</t>
  </si>
  <si>
    <t>% of annual target met</t>
  </si>
  <si>
    <t>Based on 100 clients per year target</t>
  </si>
  <si>
    <t xml:space="preserve">  2. BOROUGH BREAKDOWN</t>
  </si>
  <si>
    <t>Clients from Ealing</t>
  </si>
  <si>
    <t>Clients from Hillingdon</t>
  </si>
  <si>
    <t>Clients from Hounslow</t>
  </si>
  <si>
    <t xml:space="preserve">  3. DEMOGRAPHICS</t>
  </si>
  <si>
    <t>Clients under 25</t>
  </si>
  <si>
    <t>Female clients</t>
  </si>
  <si>
    <t>LGBTQ+ clients</t>
  </si>
  <si>
    <t>Clients with disability / health condition</t>
  </si>
  <si>
    <t>Clients whose first language is not English</t>
  </si>
  <si>
    <t xml:space="preserve">  4. ACTIVITIES THIS QUARTER</t>
  </si>
  <si>
    <t>Activities / events delivered</t>
  </si>
  <si>
    <t>Total participants reached</t>
  </si>
  <si>
    <t>Legal advice clinic sessions</t>
  </si>
  <si>
    <t>New self-referrals generated from activities</t>
  </si>
  <si>
    <t xml:space="preserve">  5. OUTCOMES THIS QUARTER</t>
  </si>
  <si>
    <t>O1 – Clients reporting better access to legal support</t>
  </si>
  <si>
    <t>Count of 'Yes' at latest assessment in this quarter</t>
  </si>
  <si>
    <t>O2 – Clients with increased confidence to report</t>
  </si>
  <si>
    <t>O3 – Partnership/agency engaged</t>
  </si>
  <si>
    <t>O4 – Clients reporting increased HC awareness</t>
  </si>
  <si>
    <t>O5 – Community-led solutions initiated</t>
  </si>
  <si>
    <t xml:space="preserve">  6. REFERRALS</t>
  </si>
  <si>
    <t>Incoming referrals this quarter</t>
  </si>
  <si>
    <t>Outgoing referrals made to partners</t>
  </si>
  <si>
    <t xml:space="preserve">  7. VOLUNTEERS &amp; TRAINING</t>
  </si>
  <si>
    <t>Active volunteers</t>
  </si>
  <si>
    <t>Volunteer hours this quarter</t>
  </si>
  <si>
    <t>Training sessions delivered this quarter</t>
  </si>
  <si>
    <t>Participants trained this quarter</t>
  </si>
  <si>
    <t xml:space="preserve">  NARRATIVE SUMMARY — Replace with your commentary before sending to City Bridge Foundation:</t>
  </si>
  <si>
    <t>Add your quarterly narrative here. Include key achievements, any challenges encountered, highlights from case work or community engagement, and priorities for the next quarter. This section is written for a non-specialist funder audience.</t>
  </si>
  <si>
    <t>CASE STUDY GENERATOR  |  Hate Crime Support Project  |  WLEC</t>
  </si>
  <si>
    <t>Enter Client Ref in cell E5 — profile auto-populates from Client Intake &amp; Outcome Tracker. Write narrative in sections below.</t>
  </si>
  <si>
    <t>AUTO-POPULATED CLIENT PROFILE — Enter Client Ref in yellow cell below</t>
  </si>
  <si>
    <t>Client Reference (type here)</t>
  </si>
  <si>
    <t>Client Initials</t>
  </si>
  <si>
    <t>Date Referred</t>
  </si>
  <si>
    <t>Gender</t>
  </si>
  <si>
    <t>Type of Hate Crime</t>
  </si>
  <si>
    <t>Presenting Issue</t>
  </si>
  <si>
    <t>Outcome Score (of 5 — latest)</t>
  </si>
  <si>
    <t xml:space="preserve">  ✏️  BACKGROUND</t>
  </si>
  <si>
    <t>Describe the client's situation when they first came to the project. What hate crime or incident were they experiencing? What impact was it having on them? (Initials only — no identifying information.)</t>
  </si>
  <si>
    <t xml:space="preserve">  ✏️  SUPPORT PROVIDED</t>
  </si>
  <si>
    <t>What did WLEC do to help? Describe casework, legal advice, advocacy, referrals, safety planning, community engagement or any other support provided.</t>
  </si>
  <si>
    <t xml:space="preserve">  ✏️  IMPACT / OUTCOMES ACHIEVED</t>
  </si>
  <si>
    <t>What changed for this client? Reference the outcome score above. How does this case demonstrate progress against the 5 project outcomes? Include direct quotes if available.</t>
  </si>
  <si>
    <t xml:space="preserve">  ✏️  PARTNERSHIP WORKING</t>
  </si>
  <si>
    <t>Which agencies or partners were involved? What did multi-agency working achieve that WLEC could not have done alone? Any MoUs, new referral pathways, or community trigger actions?</t>
  </si>
  <si>
    <t xml:space="preserve">  ✏️  KEY LESSONS / CONTRIBUTION TO SUSTAINABILITY</t>
  </si>
  <si>
    <t>What does this case demonstrate about the project's approach? Any practice changes, systemic issues identified, or contribution to building community resilience?</t>
  </si>
  <si>
    <t>CASE STUDY LIBRARY — Log Completed Case Studies</t>
  </si>
  <si>
    <t>HC Type</t>
  </si>
  <si>
    <t>Outcome Score</t>
  </si>
  <si>
    <t>Funder Report Used</t>
  </si>
  <si>
    <t>RISK REGISTER  |  Hate Crime Support Project  |  WLEC</t>
  </si>
  <si>
    <t>Risks identified in M&amp;E Framework. Update status and actions as the project progresses.</t>
  </si>
  <si>
    <t>Probability</t>
  </si>
  <si>
    <t>Impact</t>
  </si>
  <si>
    <t>Mitigation Strategy</t>
  </si>
  <si>
    <t>Owner</t>
  </si>
  <si>
    <t>Review Date</t>
  </si>
  <si>
    <t>Current Status</t>
  </si>
  <si>
    <t>Latest Action Taken</t>
  </si>
  <si>
    <t>Low engagement from hate crime victims</t>
  </si>
  <si>
    <t>Targeted outreach via social media, trusted community leaders, and religious institutions</t>
  </si>
  <si>
    <t>Outreach Coordinator</t>
  </si>
  <si>
    <t>Quarterly</t>
  </si>
  <si>
    <t>Delays in legal case resolutions</t>
  </si>
  <si>
    <t>Regular case review meetings; develop pro-bono legal partnerships</t>
  </si>
  <si>
    <t>Casework Team Lead</t>
  </si>
  <si>
    <t>Monthly</t>
  </si>
  <si>
    <t>Lack of police cooperation in hate crime reporting</t>
  </si>
  <si>
    <t>Establish formal MoU with police; advocacy for better reporting mechanisms</t>
  </si>
  <si>
    <t>Project Manager</t>
  </si>
  <si>
    <t>Bi-annual</t>
  </si>
  <si>
    <t>Volunteer retention issues</t>
  </si>
  <si>
    <t>Provide regular training, peer mentorship, and formal recognition programmes</t>
  </si>
  <si>
    <t>Volunteer Coordinator</t>
  </si>
  <si>
    <t>Insufficient community trust in reporting</t>
  </si>
  <si>
    <t>Community-led outreach, trusted intermediaries, translated materials</t>
  </si>
  <si>
    <t>Funder reporting requirements change</t>
  </si>
  <si>
    <t>Maintain flexible M&amp;E framework; regular funder communication</t>
  </si>
  <si>
    <t>Project Director</t>
  </si>
  <si>
    <t>Monitor</t>
  </si>
  <si>
    <t>Key staff turnover</t>
  </si>
  <si>
    <t>Succession planning; full handover documentation; cross-training</t>
  </si>
  <si>
    <t>Annual</t>
  </si>
  <si>
    <t>Digital exclusion preventing online access</t>
  </si>
  <si>
    <t>Maintain in-person and telephone support options alongside digital</t>
  </si>
  <si>
    <t>Casework Team</t>
  </si>
  <si>
    <t>Ongoing</t>
  </si>
  <si>
    <t>PROJECT SETTINGS &amp; CONFIGURATION</t>
  </si>
  <si>
    <t>SharePoint version history tracks who made changes and when — access via File &gt; Version History in SharePoint/OneDrive.</t>
  </si>
  <si>
    <t>Project Name</t>
  </si>
  <si>
    <t>Hate Crime Support Project</t>
  </si>
  <si>
    <t>Lead Organisation</t>
  </si>
  <si>
    <t>West London Equality Centre (WLEC)</t>
  </si>
  <si>
    <t>Funder</t>
  </si>
  <si>
    <t>City Bridge Foundation</t>
  </si>
  <si>
    <t>Total Funding</t>
  </si>
  <si>
    <t>£480,801</t>
  </si>
  <si>
    <t>Project Start Date</t>
  </si>
  <si>
    <t>01/11/2025</t>
  </si>
  <si>
    <t>Project End Date</t>
  </si>
  <si>
    <t>31/10/2030</t>
  </si>
  <si>
    <t>Project Duration</t>
  </si>
  <si>
    <t>5 Years (Nov 2025 – Oct 2030)</t>
  </si>
  <si>
    <t>Current Project Year</t>
  </si>
  <si>
    <t>Year 1 (2025-26)</t>
  </si>
  <si>
    <t>Annual Client Target</t>
  </si>
  <si>
    <t>5-Year Client Target</t>
  </si>
  <si>
    <t>Boroughs Covered</t>
  </si>
  <si>
    <t>Ealing, Hillingdon, Hounslow</t>
  </si>
  <si>
    <t>Contact Email</t>
  </si>
  <si>
    <t>freda@hrsg.org.uk</t>
  </si>
  <si>
    <t>Report Prepared By</t>
  </si>
  <si>
    <t>Date of Last Update</t>
  </si>
  <si>
    <t>QUARTERLY REPORT CONFIGURATION — Update each quarter</t>
  </si>
  <si>
    <t>Quarter Start Date</t>
  </si>
  <si>
    <t>Change to current quarter start</t>
  </si>
  <si>
    <t>Quarter End Date</t>
  </si>
  <si>
    <t>30/06/2026</t>
  </si>
  <si>
    <t>Change to current quarter end</t>
  </si>
  <si>
    <t>Quarter Label</t>
  </si>
  <si>
    <t>Q1 2025-26</t>
  </si>
  <si>
    <t>e.g. Q1 2025-26</t>
  </si>
  <si>
    <t>Current Year Label</t>
  </si>
  <si>
    <t>Update each project year</t>
  </si>
  <si>
    <t>Year Number (1-5)</t>
  </si>
  <si>
    <t>Used in trend charts</t>
  </si>
  <si>
    <t>5-YEAR ACTIVITY TARGETS (from framework)</t>
  </si>
  <si>
    <t>Cases Target</t>
  </si>
  <si>
    <t>Workshops</t>
  </si>
  <si>
    <t>New Volunteers</t>
  </si>
  <si>
    <t>Year 2 (2026-27)</t>
  </si>
  <si>
    <t>Year 3 (2027-28)</t>
  </si>
  <si>
    <t>Year 4 (2028-29)</t>
  </si>
  <si>
    <t>Year 5 (2029-30)</t>
  </si>
  <si>
    <t>REFERRAL SOURCE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</si>
</sst>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yy"/>
    <numFmt numFmtId="166" formatCode="yyyy\-mm\-dd"/>
  </numFmts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22"/>
      <color rgb="FFFFFFFF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20"/>
      <color rgb="FFFFFFFF"/>
      <name val="Calibri"/>
      <family val="2"/>
      <charset val="1"/>
    </font>
    <font>
      <b/>
      <sz val="10"/>
      <color rgb="FF1F3864"/>
      <name val="Calibri"/>
      <family val="2"/>
      <charset val="1"/>
    </font>
    <font>
      <i/>
      <sz val="9"/>
      <color rgb="FF666666"/>
      <name val="Calibri"/>
      <family val="2"/>
    </font>
    <font>
      <b/>
      <sz val="10"/>
      <name val="Calibri"/>
      <family val="2"/>
      <charset val="1"/>
    </font>
    <font>
      <i/>
      <sz val="9"/>
      <name val="Calibri"/>
      <family val="2"/>
      <charset val="1"/>
    </font>
    <font>
      <b/>
      <sz val="10"/>
      <color rgb="FF2E75B6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i/>
      <sz val="9"/>
      <color rgb="FF1F3864"/>
      <name val="Calibri"/>
      <family val="2"/>
      <charset val="1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i/>
      <sz val="10"/>
      <color rgb="FF666666"/>
      <name val="Calibri"/>
      <family val="2"/>
    </font>
    <font>
      <b/>
      <sz val="12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  <charset val="1"/>
    </font>
    <font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2E75B6"/>
      <name val="Calibri"/>
      <family val="2"/>
      <charset val="1"/>
    </font>
    <font>
      <b/>
      <sz val="9"/>
      <name val="Calibri"/>
      <family val="2"/>
      <charset val="1"/>
    </font>
    <font>
      <b/>
      <sz val="15"/>
      <color rgb="FFFFFFFF"/>
      <name val="Calibri"/>
      <family val="2"/>
      <charset val="1"/>
    </font>
    <font>
      <b/>
      <sz val="11"/>
      <color rgb="FF1F3864"/>
      <name val="Calibri"/>
      <family val="2"/>
      <charset val="1"/>
    </font>
    <font>
      <b/>
      <sz val="12"/>
      <color rgb="FF1F3864"/>
      <name val="Calibri"/>
      <family val="2"/>
      <charset val="1"/>
    </font>
    <font>
      <i/>
      <sz val="9"/>
      <color rgb="FF666666"/>
      <name val="Calibri"/>
      <family val="2"/>
      <charset val="1"/>
    </font>
    <font>
      <i/>
      <sz val="10"/>
      <color rgb="FF888888"/>
      <name val="Calibri"/>
      <family val="2"/>
      <charset val="1"/>
    </font>
    <font>
      <i/>
      <sz val="9"/>
      <color rgb="FF1F3864"/>
      <name val="Calibri"/>
      <family val="2"/>
    </font>
    <font>
      <sz val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4672A8"/>
      </patternFill>
    </fill>
    <fill>
      <patternFill patternType="solid">
        <fgColor rgb="FFE8EFF7"/>
        <bgColor rgb="FFEBF3FB"/>
      </patternFill>
    </fill>
    <fill>
      <patternFill patternType="solid">
        <fgColor rgb="FFED7D31"/>
        <bgColor rgb="FFDC853E"/>
      </patternFill>
    </fill>
    <fill>
      <patternFill patternType="solid">
        <fgColor rgb="FFF2F2F2"/>
        <bgColor rgb="FFF3EEFA"/>
      </patternFill>
    </fill>
    <fill>
      <patternFill patternType="solid">
        <fgColor rgb="FFBDD7EE"/>
        <bgColor rgb="FFD9D9D9"/>
      </patternFill>
    </fill>
    <fill>
      <patternFill patternType="solid">
        <fgColor rgb="FFEBF3FB"/>
        <bgColor rgb="FFE8EFF7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7030A0"/>
        <bgColor rgb="FF72599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8AA64F"/>
      </patternFill>
    </fill>
    <fill>
      <patternFill patternType="solid">
        <fgColor rgb="FF008080"/>
        <bgColor rgb="FF2E75B6"/>
      </patternFill>
    </fill>
    <fill>
      <patternFill patternType="solid">
        <fgColor rgb="FF1A5276"/>
        <bgColor rgb="FF1F3864"/>
      </patternFill>
    </fill>
    <fill>
      <patternFill patternType="solid">
        <fgColor rgb="FF6E2F0A"/>
        <bgColor rgb="FF4A235A"/>
      </patternFill>
    </fill>
    <fill>
      <patternFill patternType="solid">
        <fgColor rgb="FF1E5631"/>
        <bgColor rgb="FF1A5276"/>
      </patternFill>
    </fill>
    <fill>
      <patternFill patternType="solid">
        <fgColor rgb="FF4A235A"/>
        <bgColor rgb="FF1F3864"/>
      </patternFill>
    </fill>
    <fill>
      <patternFill patternType="solid">
        <fgColor rgb="FFD9D9D9"/>
        <bgColor rgb="FFBDD7EE"/>
      </patternFill>
    </fill>
    <fill>
      <patternFill patternType="solid">
        <fgColor rgb="FFF3EEFA"/>
        <bgColor rgb="FFF2F2F2"/>
      </patternFill>
    </fill>
    <fill>
      <patternFill patternType="solid">
        <fgColor rgb="FFE2EFDA"/>
        <bgColor rgb="FF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9" fontId="10" fillId="8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center" vertical="center"/>
    </xf>
    <xf numFmtId="9" fontId="10" fillId="10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left" vertical="top" wrapText="1"/>
    </xf>
    <xf numFmtId="14" fontId="0" fillId="0" borderId="0" xfId="0" applyNumberFormat="1"/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21" fillId="19" borderId="0" xfId="0" applyFont="1" applyFill="1" applyAlignment="1">
      <alignment horizontal="center" vertical="center" wrapText="1"/>
    </xf>
    <xf numFmtId="0" fontId="0" fillId="6" borderId="0" xfId="0" applyFill="1"/>
    <xf numFmtId="0" fontId="4" fillId="1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9" fontId="10" fillId="7" borderId="0" xfId="0" applyNumberFormat="1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9" fontId="10" fillId="6" borderId="0" xfId="0" applyNumberFormat="1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20" borderId="0" xfId="0" applyFill="1"/>
    <xf numFmtId="0" fontId="26" fillId="9" borderId="0" xfId="0" applyFont="1" applyFill="1" applyAlignment="1">
      <alignment horizontal="center" vertical="center"/>
    </xf>
    <xf numFmtId="0" fontId="0" fillId="10" borderId="0" xfId="0" applyFill="1"/>
    <xf numFmtId="0" fontId="27" fillId="9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left" vertical="center"/>
    </xf>
    <xf numFmtId="9" fontId="12" fillId="21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9" fillId="10" borderId="0" xfId="0" applyFont="1" applyFill="1" applyAlignment="1">
      <alignment horizontal="left" vertical="center"/>
    </xf>
    <xf numFmtId="9" fontId="12" fillId="10" borderId="0" xfId="0" applyNumberFormat="1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left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left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21" borderId="0" xfId="0" applyFont="1" applyFill="1" applyAlignment="1">
      <alignment horizontal="center" vertical="center" wrapText="1"/>
    </xf>
    <xf numFmtId="165" fontId="8" fillId="9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24" fillId="6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36" fillId="0" borderId="0" xfId="0" applyFont="1"/>
    <xf numFmtId="166" fontId="0" fillId="0" borderId="0" xfId="0" applyNumberFormat="1"/>
    <xf numFmtId="0" fontId="4" fillId="5" borderId="0" xfId="0" applyFont="1" applyFill="1" applyAlignment="1">
      <alignment horizontal="center" vertical="center" wrapText="1"/>
    </xf>
    <xf numFmtId="0" fontId="0" fillId="0" borderId="0" xfId="0"/>
    <xf numFmtId="0" fontId="10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9" fontId="8" fillId="7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4" borderId="0" xfId="0" applyFill="1"/>
    <xf numFmtId="0" fontId="4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9" fontId="24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4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9" fontId="24" fillId="10" borderId="0" xfId="0" applyNumberFormat="1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9" fontId="4" fillId="5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33" fillId="10" borderId="0" xfId="0" applyFont="1" applyFill="1" applyAlignment="1">
      <alignment horizontal="left" vertical="center" wrapText="1"/>
    </xf>
    <xf numFmtId="0" fontId="32" fillId="7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left" vertical="center"/>
    </xf>
    <xf numFmtId="0" fontId="34" fillId="6" borderId="0" xfId="0" applyFont="1" applyFill="1" applyAlignment="1">
      <alignment horizontal="left" vertical="top" wrapText="1"/>
    </xf>
    <xf numFmtId="0" fontId="15" fillId="2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31" fillId="7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2" fillId="7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 wrapText="1"/>
    </xf>
    <xf numFmtId="0" fontId="35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8CD97"/>
      <rgbColor rgb="FF878787"/>
      <rgbColor rgb="FF93A9CE"/>
      <rgbColor rgb="FFAB4744"/>
      <rgbColor rgb="FFFFF2CC"/>
      <rgbColor rgb="FFEBF3FB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666666"/>
      <rgbColor rgb="FF0000FF"/>
      <rgbColor rgb="FF00CCFF"/>
      <rgbColor rgb="FFE8EFF7"/>
      <rgbColor rgb="FFE2EFDA"/>
      <rgbColor rgb="FFF2F2F2"/>
      <rgbColor rgb="FFF3EEFA"/>
      <rgbColor rgb="FFD09493"/>
      <rgbColor rgb="FFA99BBD"/>
      <rgbColor rgb="FFD9D9D9"/>
      <rgbColor rgb="FF2E75B6"/>
      <rgbColor rgb="FF33CCCC"/>
      <rgbColor rgb="FF70AD47"/>
      <rgbColor rgb="FFFFCC00"/>
      <rgbColor rgb="FFFF9900"/>
      <rgbColor rgb="FFED7D31"/>
      <rgbColor rgb="FF725990"/>
      <rgbColor rgb="FF888888"/>
      <rgbColor rgb="FF1F3864"/>
      <rgbColor rgb="FF4299B0"/>
      <rgbColor rgb="FF003300"/>
      <rgbColor rgb="FF1E5631"/>
      <rgbColor rgb="FF6E2F0A"/>
      <rgbColor rgb="FF7030A0"/>
      <rgbColor rgb="FF1A5276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Cases Handled Per Year vs Target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KPI Trends'!$B$5</c:f>
              <c:strCache>
                <c:ptCount val="1"/>
                <c:pt idx="0">
                  <c:v>Y1 Target</c:v>
                </c:pt>
              </c:strCache>
            </c:strRef>
          </c:tx>
          <c:spPr>
            <a:solidFill>
              <a:srgbClr val="4672A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Trends'!$B$6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3-3743-A397-A38A03603327}"/>
            </c:ext>
          </c:extLst>
        </c:ser>
        <c:ser>
          <c:idx val="1"/>
          <c:order val="1"/>
          <c:tx>
            <c:strRef>
              <c:f>'📈 KPI Trends'!$C$5</c:f>
              <c:strCache>
                <c:ptCount val="1"/>
                <c:pt idx="0">
                  <c:v>Y1 Actual</c:v>
                </c:pt>
              </c:strCache>
            </c:strRef>
          </c:tx>
          <c:spPr>
            <a:solidFill>
              <a:srgbClr val="AB474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3-3743-A397-A38A03603327}"/>
            </c:ext>
          </c:extLst>
        </c:ser>
        <c:ser>
          <c:idx val="2"/>
          <c:order val="2"/>
          <c:tx>
            <c:strRef>
              <c:f>'📈 KPI Trends'!$D$5</c:f>
              <c:strCache>
                <c:ptCount val="1"/>
                <c:pt idx="0">
                  <c:v>Y2 Target</c:v>
                </c:pt>
              </c:strCache>
            </c:strRef>
          </c:tx>
          <c:spPr>
            <a:solidFill>
              <a:srgbClr val="8AA6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Trends'!$D$6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3-3743-A397-A38A03603327}"/>
            </c:ext>
          </c:extLst>
        </c:ser>
        <c:ser>
          <c:idx val="3"/>
          <c:order val="3"/>
          <c:tx>
            <c:strRef>
              <c:f>'📈 KPI Trends'!$E$5</c:f>
              <c:strCache>
                <c:ptCount val="1"/>
                <c:pt idx="0">
                  <c:v>Y2 Actual</c:v>
                </c:pt>
              </c:strCache>
            </c:strRef>
          </c:tx>
          <c:spPr>
            <a:solidFill>
              <a:srgbClr val="72599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Trends'!$E$6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3-3743-A397-A38A03603327}"/>
            </c:ext>
          </c:extLst>
        </c:ser>
        <c:ser>
          <c:idx val="4"/>
          <c:order val="4"/>
          <c:tx>
            <c:strRef>
              <c:f>'📈 KPI Trends'!$F$5</c:f>
              <c:strCache>
                <c:ptCount val="1"/>
                <c:pt idx="0">
                  <c:v>Y3 Target</c:v>
                </c:pt>
              </c:strCache>
            </c:strRef>
          </c:tx>
          <c:spPr>
            <a:solidFill>
              <a:srgbClr val="4299B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Trends'!$F$6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3-3743-A397-A38A03603327}"/>
            </c:ext>
          </c:extLst>
        </c:ser>
        <c:ser>
          <c:idx val="5"/>
          <c:order val="5"/>
          <c:tx>
            <c:strRef>
              <c:f>'📈 KPI Trends'!$G$5</c:f>
              <c:strCache>
                <c:ptCount val="1"/>
                <c:pt idx="0">
                  <c:v>Y3 Actual</c:v>
                </c:pt>
              </c:strCache>
            </c:strRef>
          </c:tx>
          <c:spPr>
            <a:solidFill>
              <a:srgbClr val="DC853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Trends'!$G$6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C3-3743-A397-A38A03603327}"/>
            </c:ext>
          </c:extLst>
        </c:ser>
        <c:ser>
          <c:idx val="6"/>
          <c:order val="6"/>
          <c:tx>
            <c:strRef>
              <c:f>'📈 KPI Trends'!$H$5</c:f>
              <c:strCache>
                <c:ptCount val="1"/>
                <c:pt idx="0">
                  <c:v>Y4 Target</c:v>
                </c:pt>
              </c:strCache>
            </c:strRef>
          </c:tx>
          <c:spPr>
            <a:solidFill>
              <a:srgbClr val="93A9C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Trends'!$H$6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C3-3743-A397-A38A03603327}"/>
            </c:ext>
          </c:extLst>
        </c:ser>
        <c:ser>
          <c:idx val="7"/>
          <c:order val="7"/>
          <c:tx>
            <c:strRef>
              <c:f>'📈 KPI Trends'!$I$5</c:f>
              <c:strCache>
                <c:ptCount val="1"/>
                <c:pt idx="0">
                  <c:v>Y4 Actual</c:v>
                </c:pt>
              </c:strCache>
            </c:strRef>
          </c:tx>
          <c:spPr>
            <a:solidFill>
              <a:srgbClr val="D09493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Trends'!$I$6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C3-3743-A397-A38A03603327}"/>
            </c:ext>
          </c:extLst>
        </c:ser>
        <c:ser>
          <c:idx val="8"/>
          <c:order val="8"/>
          <c:tx>
            <c:strRef>
              <c:f>'📈 KPI Trends'!$J$5</c:f>
              <c:strCache>
                <c:ptCount val="1"/>
                <c:pt idx="0">
                  <c:v>Y5 Target</c:v>
                </c:pt>
              </c:strCache>
            </c:strRef>
          </c:tx>
          <c:spPr>
            <a:solidFill>
              <a:srgbClr val="B8CD9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Trends'!$J$6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C3-3743-A397-A38A03603327}"/>
            </c:ext>
          </c:extLst>
        </c:ser>
        <c:ser>
          <c:idx val="9"/>
          <c:order val="9"/>
          <c:tx>
            <c:strRef>
              <c:f>'📈 KPI Trends'!$K$5</c:f>
              <c:strCache>
                <c:ptCount val="1"/>
                <c:pt idx="0">
                  <c:v>Y5 Actual</c:v>
                </c:pt>
              </c:strCache>
            </c:strRef>
          </c:tx>
          <c:spPr>
            <a:solidFill>
              <a:srgbClr val="A99B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Trends'!$A$6</c:f>
              <c:strCache>
                <c:ptCount val="1"/>
                <c:pt idx="0">
                  <c:v>Cases Handled</c:v>
                </c:pt>
              </c:strCache>
            </c:strRef>
          </c:cat>
          <c:val>
            <c:numRef>
              <c:f>'📈 KPI Trends'!$K$6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C3-3743-A397-A38A03603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81414"/>
        <c:axId val="34344037"/>
      </c:barChart>
      <c:catAx>
        <c:axId val="2178141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Project 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34344037"/>
        <c:crosses val="autoZero"/>
        <c:auto val="1"/>
        <c:lblAlgn val="ctr"/>
        <c:lblOffset val="100"/>
        <c:noMultiLvlLbl val="0"/>
      </c:catAx>
      <c:valAx>
        <c:axId val="34344037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Cases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21781414"/>
        <c:crosses val="autoZero"/>
        <c:crossBetween val="between"/>
      </c:valAx>
    </c:plotArea>
    <c:legend>
      <c:legendPos val="r"/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Outcome Achievement Across 5 Years (% of beneficiaries)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KPI Trends'!$N$5</c:f>
              <c:strCache>
                <c:ptCount val="1"/>
                <c:pt idx="0">
                  <c:v>Y1</c:v>
                </c:pt>
              </c:strCache>
            </c:strRef>
          </c:tx>
          <c:spPr>
            <a:ln w="2016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Trends'!$M$6:$M$10</c:f>
              <c:strCache>
                <c:ptCount val="5"/>
                <c:pt idx="0">
                  <c:v>O1 – Better access to legal support</c:v>
                </c:pt>
                <c:pt idx="1">
                  <c:v>O2 – Confident to report</c:v>
                </c:pt>
                <c:pt idx="2">
                  <c:v>O3 – Partnership strengthened</c:v>
                </c:pt>
                <c:pt idx="3">
                  <c:v>O4 – Increased awareness</c:v>
                </c:pt>
                <c:pt idx="4">
                  <c:v>O5 – Community-led initiatives</c:v>
                </c:pt>
              </c:strCache>
            </c:strRef>
          </c:cat>
          <c:val>
            <c:numRef>
              <c:f>'📈 KPI Trends'!$N$6:$N$10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91-B54C-A105-DD269DBF90D9}"/>
            </c:ext>
          </c:extLst>
        </c:ser>
        <c:ser>
          <c:idx val="1"/>
          <c:order val="1"/>
          <c:tx>
            <c:strRef>
              <c:f>'📈 KPI Trends'!$O$5</c:f>
              <c:strCache>
                <c:ptCount val="1"/>
                <c:pt idx="0">
                  <c:v>Y2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Trends'!$M$6:$M$10</c:f>
              <c:strCache>
                <c:ptCount val="5"/>
                <c:pt idx="0">
                  <c:v>O1 – Better access to legal support</c:v>
                </c:pt>
                <c:pt idx="1">
                  <c:v>O2 – Confident to report</c:v>
                </c:pt>
                <c:pt idx="2">
                  <c:v>O3 – Partnership strengthened</c:v>
                </c:pt>
                <c:pt idx="3">
                  <c:v>O4 – Increased awareness</c:v>
                </c:pt>
                <c:pt idx="4">
                  <c:v>O5 – Community-led initiatives</c:v>
                </c:pt>
              </c:strCache>
            </c:strRef>
          </c:cat>
          <c:val>
            <c:numRef>
              <c:f>'📈 KPI Trends'!$O$6:$O$10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91-B54C-A105-DD269DBF90D9}"/>
            </c:ext>
          </c:extLst>
        </c:ser>
        <c:ser>
          <c:idx val="2"/>
          <c:order val="2"/>
          <c:tx>
            <c:strRef>
              <c:f>'📈 KPI Trends'!$P$5</c:f>
              <c:strCache>
                <c:ptCount val="1"/>
                <c:pt idx="0">
                  <c:v>Y3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Trends'!$M$6:$M$10</c:f>
              <c:strCache>
                <c:ptCount val="5"/>
                <c:pt idx="0">
                  <c:v>O1 – Better access to legal support</c:v>
                </c:pt>
                <c:pt idx="1">
                  <c:v>O2 – Confident to report</c:v>
                </c:pt>
                <c:pt idx="2">
                  <c:v>O3 – Partnership strengthened</c:v>
                </c:pt>
                <c:pt idx="3">
                  <c:v>O4 – Increased awareness</c:v>
                </c:pt>
                <c:pt idx="4">
                  <c:v>O5 – Community-led initiatives</c:v>
                </c:pt>
              </c:strCache>
            </c:strRef>
          </c:cat>
          <c:val>
            <c:numRef>
              <c:f>'📈 KPI Trends'!$P$6:$P$10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91-B54C-A105-DD269DBF90D9}"/>
            </c:ext>
          </c:extLst>
        </c:ser>
        <c:ser>
          <c:idx val="3"/>
          <c:order val="3"/>
          <c:tx>
            <c:strRef>
              <c:f>'📈 KPI Trends'!$Q$5</c:f>
              <c:strCache>
                <c:ptCount val="1"/>
                <c:pt idx="0">
                  <c:v>Y4</c:v>
                </c:pt>
              </c:strCache>
            </c:strRef>
          </c:tx>
          <c:spPr>
            <a:ln w="20160">
              <a:solidFill>
                <a:srgbClr val="7030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Trends'!$M$6:$M$10</c:f>
              <c:strCache>
                <c:ptCount val="5"/>
                <c:pt idx="0">
                  <c:v>O1 – Better access to legal support</c:v>
                </c:pt>
                <c:pt idx="1">
                  <c:v>O2 – Confident to report</c:v>
                </c:pt>
                <c:pt idx="2">
                  <c:v>O3 – Partnership strengthened</c:v>
                </c:pt>
                <c:pt idx="3">
                  <c:v>O4 – Increased awareness</c:v>
                </c:pt>
                <c:pt idx="4">
                  <c:v>O5 – Community-led initiatives</c:v>
                </c:pt>
              </c:strCache>
            </c:strRef>
          </c:cat>
          <c:val>
            <c:numRef>
              <c:f>'📈 KPI Trends'!$Q$6:$Q$10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C91-B54C-A105-DD269DBF90D9}"/>
            </c:ext>
          </c:extLst>
        </c:ser>
        <c:ser>
          <c:idx val="4"/>
          <c:order val="4"/>
          <c:tx>
            <c:strRef>
              <c:f>'📈 KPI Trends'!$R$5</c:f>
              <c:strCache>
                <c:ptCount val="1"/>
                <c:pt idx="0">
                  <c:v>Y5</c:v>
                </c:pt>
              </c:strCache>
            </c:strRef>
          </c:tx>
          <c:spPr>
            <a:ln w="20160">
              <a:solidFill>
                <a:srgbClr val="00808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Trends'!$M$6:$M$10</c:f>
              <c:strCache>
                <c:ptCount val="5"/>
                <c:pt idx="0">
                  <c:v>O1 – Better access to legal support</c:v>
                </c:pt>
                <c:pt idx="1">
                  <c:v>O2 – Confident to report</c:v>
                </c:pt>
                <c:pt idx="2">
                  <c:v>O3 – Partnership strengthened</c:v>
                </c:pt>
                <c:pt idx="3">
                  <c:v>O4 – Increased awareness</c:v>
                </c:pt>
                <c:pt idx="4">
                  <c:v>O5 – Community-led initiatives</c:v>
                </c:pt>
              </c:strCache>
            </c:strRef>
          </c:cat>
          <c:val>
            <c:numRef>
              <c:f>'📈 KPI Trends'!$R$6:$R$10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C91-B54C-A105-DD269DBF9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9366748"/>
        <c:axId val="79485620"/>
      </c:lineChart>
      <c:catAx>
        <c:axId val="9936674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Project 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79485620"/>
        <c:crosses val="autoZero"/>
        <c:auto val="1"/>
        <c:lblAlgn val="ctr"/>
        <c:lblOffset val="100"/>
        <c:noMultiLvlLbl val="0"/>
      </c:catAx>
      <c:valAx>
        <c:axId val="79485620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Achievement Rate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1"/>
        <c:majorTickMark val="none"/>
        <c:minorTickMark val="none"/>
        <c:tickLblPos val="nextTo"/>
        <c:crossAx val="99366748"/>
        <c:crosses val="autoZero"/>
        <c:crossBetween val="between"/>
      </c:valAx>
    </c:plotArea>
    <c:legend>
      <c:legendPos val="r"/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Clients by Borough Per Year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'📈 KPI Trends'!$B$28</c:f>
              <c:strCache>
                <c:ptCount val="1"/>
                <c:pt idx="0">
                  <c:v>Ealing</c:v>
                </c:pt>
              </c:strCache>
            </c:strRef>
          </c:tx>
          <c:spPr>
            <a:solidFill>
              <a:srgbClr val="2E75B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Trends'!$A$29:$A$33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'📈 KPI Trends'!$B$29:$B$33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6-7444-B694-CD0D1EA79BAE}"/>
            </c:ext>
          </c:extLst>
        </c:ser>
        <c:ser>
          <c:idx val="1"/>
          <c:order val="1"/>
          <c:tx>
            <c:strRef>
              <c:f>'📈 KPI Trends'!$C$28</c:f>
              <c:strCache>
                <c:ptCount val="1"/>
                <c:pt idx="0">
                  <c:v>Hillingdon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Trends'!$A$29:$A$33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'📈 KPI Trends'!$C$29:$C$33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6-7444-B694-CD0D1EA79BAE}"/>
            </c:ext>
          </c:extLst>
        </c:ser>
        <c:ser>
          <c:idx val="2"/>
          <c:order val="2"/>
          <c:tx>
            <c:strRef>
              <c:f>'📈 KPI Trends'!$D$28</c:f>
              <c:strCache>
                <c:ptCount val="1"/>
                <c:pt idx="0">
                  <c:v>Hounslow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Trends'!$A$29:$A$33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'📈 KPI Trends'!$D$29:$D$33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66-7444-B694-CD0D1EA79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50108"/>
        <c:axId val="9911926"/>
      </c:barChart>
      <c:catAx>
        <c:axId val="1105010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Project 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9911926"/>
        <c:crosses val="autoZero"/>
        <c:auto val="1"/>
        <c:lblAlgn val="ctr"/>
        <c:lblOffset val="100"/>
        <c:noMultiLvlLbl val="0"/>
      </c:catAx>
      <c:valAx>
        <c:axId val="9911926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Clients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1050108"/>
        <c:crosses val="autoZero"/>
        <c:crossBetween val="between"/>
      </c:valAx>
    </c:plotArea>
    <c:legend>
      <c:legendPos val="r"/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Risk Level Trend Across 5 Years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KPI Trends'!$N$28</c:f>
              <c:strCache>
                <c:ptCount val="1"/>
                <c:pt idx="0">
                  <c:v>High Risk</c:v>
                </c:pt>
              </c:strCache>
            </c:strRef>
          </c:tx>
          <c:spPr>
            <a:ln w="2844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Trends'!$M$29:$M$33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'📈 KPI Trends'!$N$29:$N$33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F-FE43-8753-C19784D27BA8}"/>
            </c:ext>
          </c:extLst>
        </c:ser>
        <c:ser>
          <c:idx val="1"/>
          <c:order val="1"/>
          <c:tx>
            <c:strRef>
              <c:f>'📈 KPI Trends'!$O$28</c:f>
              <c:strCache>
                <c:ptCount val="1"/>
                <c:pt idx="0">
                  <c:v>Medium</c:v>
                </c:pt>
              </c:strCache>
            </c:strRef>
          </c:tx>
          <c:spPr>
            <a:ln w="28440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Trends'!$M$29:$M$33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'📈 KPI Trends'!$O$29:$O$33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6F-FE43-8753-C19784D27BA8}"/>
            </c:ext>
          </c:extLst>
        </c:ser>
        <c:ser>
          <c:idx val="2"/>
          <c:order val="2"/>
          <c:tx>
            <c:strRef>
              <c:f>'📈 KPI Trends'!$P$28</c:f>
              <c:strCache>
                <c:ptCount val="1"/>
                <c:pt idx="0">
                  <c:v>Low</c:v>
                </c:pt>
              </c:strCache>
            </c:strRef>
          </c:tx>
          <c:spPr>
            <a:ln w="2844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KPI Trends'!$M$29:$M$33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'📈 KPI Trends'!$P$29:$P$33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46F-FE43-8753-C19784D27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515421"/>
        <c:axId val="50506356"/>
      </c:lineChart>
      <c:catAx>
        <c:axId val="951542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50506356"/>
        <c:crosses val="autoZero"/>
        <c:auto val="1"/>
        <c:lblAlgn val="ctr"/>
        <c:lblOffset val="100"/>
        <c:noMultiLvlLbl val="0"/>
      </c:catAx>
      <c:valAx>
        <c:axId val="50506356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Clients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9515421"/>
        <c:crosses val="autoZero"/>
        <c:crossBetween val="between"/>
      </c:valAx>
    </c:plotArea>
    <c:legend>
      <c:legendPos val="r"/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870840</xdr:colOff>
      <xdr:row>32</xdr:row>
      <xdr:rowOff>40680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10</xdr:row>
      <xdr:rowOff>0</xdr:rowOff>
    </xdr:from>
    <xdr:to>
      <xdr:col>20</xdr:col>
      <xdr:colOff>25200</xdr:colOff>
      <xdr:row>32</xdr:row>
      <xdr:rowOff>40680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4</xdr:col>
      <xdr:colOff>684360</xdr:colOff>
      <xdr:row>56</xdr:row>
      <xdr:rowOff>128160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34</xdr:row>
      <xdr:rowOff>0</xdr:rowOff>
    </xdr:from>
    <xdr:to>
      <xdr:col>18</xdr:col>
      <xdr:colOff>558720</xdr:colOff>
      <xdr:row>56</xdr:row>
      <xdr:rowOff>128160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showGridLines="0" tabSelected="1" zoomScale="85" zoomScaleNormal="85" workbookViewId="0">
      <selection sqref="A1:Z1"/>
    </sheetView>
  </sheetViews>
  <sheetFormatPr baseColWidth="10" defaultColWidth="8.83203125" defaultRowHeight="15" customHeight="1" x14ac:dyDescent="0.2"/>
  <cols>
    <col min="1" max="26" width="16" customWidth="1"/>
  </cols>
  <sheetData>
    <row r="1" spans="1:26" ht="45.75" customHeight="1" x14ac:dyDescent="0.2">
      <c r="A1" s="109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21.75" customHeight="1" x14ac:dyDescent="0.2">
      <c r="A2" s="98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7.5" customHeight="1" x14ac:dyDescent="0.2">
      <c r="A3" s="8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30" customHeight="1" x14ac:dyDescent="0.2">
      <c r="A4" s="104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5.5" customHeight="1" x14ac:dyDescent="0.2">
      <c r="A5" s="89" t="s">
        <v>3</v>
      </c>
      <c r="B5" s="73"/>
      <c r="C5" s="73"/>
      <c r="D5" s="73"/>
      <c r="E5" s="73"/>
      <c r="F5" s="89" t="s">
        <v>4</v>
      </c>
      <c r="G5" s="73"/>
      <c r="H5" s="73"/>
      <c r="I5" s="73"/>
      <c r="J5" s="73"/>
      <c r="K5" s="89" t="s">
        <v>5</v>
      </c>
      <c r="L5" s="73"/>
      <c r="M5" s="73"/>
      <c r="N5" s="73"/>
      <c r="O5" s="73"/>
      <c r="P5" s="89" t="s">
        <v>6</v>
      </c>
      <c r="Q5" s="73"/>
      <c r="R5" s="73"/>
      <c r="S5" s="73"/>
      <c r="T5" s="73"/>
      <c r="U5" s="89" t="s">
        <v>7</v>
      </c>
      <c r="V5" s="73"/>
      <c r="W5" s="73"/>
      <c r="X5" s="73"/>
      <c r="Y5" s="73"/>
      <c r="Z5" s="73"/>
    </row>
    <row r="6" spans="1:26" ht="25.5" customHeight="1" x14ac:dyDescent="0.2">
      <c r="A6" s="77">
        <f>COUNTA('📋 Client Intake'!C5:C1004)</f>
        <v>6</v>
      </c>
      <c r="B6" s="73"/>
      <c r="C6" s="73"/>
      <c r="D6" s="73"/>
      <c r="E6" s="73"/>
      <c r="F6" s="103">
        <f>IFERROR(COUNTIF('📋 Client Intake'!G5:G1004,"Ealing")/COUNTA('📋 Client Intake'!C5:C1004),0)</f>
        <v>0.5</v>
      </c>
      <c r="G6" s="73"/>
      <c r="H6" s="73"/>
      <c r="I6" s="73"/>
      <c r="J6" s="73"/>
      <c r="K6" s="101">
        <f>COUNTIF('📋 Client Intake'!F5:F1004,"Active")</f>
        <v>5</v>
      </c>
      <c r="L6" s="73"/>
      <c r="M6" s="73"/>
      <c r="N6" s="73"/>
      <c r="O6" s="73"/>
      <c r="P6" s="103">
        <f>IFERROR(COUNTIF('📋 Client Intake'!I5:I1004,"Under 25")/COUNTA('📋 Client Intake'!C5:C1004),0)</f>
        <v>0</v>
      </c>
      <c r="Q6" s="73"/>
      <c r="R6" s="73"/>
      <c r="S6" s="73"/>
      <c r="T6" s="73"/>
      <c r="U6" s="103">
        <f>IFERROR(COUNTA('📋 Client Intake'!C5:C1004)/750,0)</f>
        <v>8.0000000000000002E-3</v>
      </c>
      <c r="V6" s="73"/>
      <c r="W6" s="73"/>
      <c r="X6" s="73"/>
      <c r="Y6" s="73"/>
      <c r="Z6" s="73"/>
    </row>
    <row r="7" spans="1:26" ht="25.5" customHeight="1" x14ac:dyDescent="0.2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5.5" customHeight="1" x14ac:dyDescent="0.2">
      <c r="A8" s="72" t="s">
        <v>8</v>
      </c>
      <c r="B8" s="73"/>
      <c r="C8" s="73"/>
      <c r="D8" s="73"/>
      <c r="E8" s="73"/>
      <c r="F8" s="72" t="s">
        <v>9</v>
      </c>
      <c r="G8" s="73"/>
      <c r="H8" s="73"/>
      <c r="I8" s="73"/>
      <c r="J8" s="73"/>
      <c r="K8" s="72" t="s">
        <v>10</v>
      </c>
      <c r="L8" s="73"/>
      <c r="M8" s="73"/>
      <c r="N8" s="73"/>
      <c r="O8" s="73"/>
      <c r="P8" s="72" t="s">
        <v>11</v>
      </c>
      <c r="Q8" s="73"/>
      <c r="R8" s="73"/>
      <c r="S8" s="73"/>
      <c r="T8" s="73"/>
      <c r="U8" s="72" t="s">
        <v>12</v>
      </c>
      <c r="V8" s="73"/>
      <c r="W8" s="73"/>
      <c r="X8" s="73"/>
      <c r="Y8" s="73"/>
      <c r="Z8" s="73"/>
    </row>
    <row r="9" spans="1:26" ht="25.5" customHeight="1" x14ac:dyDescent="0.2">
      <c r="A9" s="86">
        <f>IFERROR(COUNTIF('📋 Client Intake'!G5:G1004,"Hillingdon")/COUNTA('📋 Client Intake'!C5:C1004),0)</f>
        <v>0.33333333333333331</v>
      </c>
      <c r="B9" s="73"/>
      <c r="C9" s="73"/>
      <c r="D9" s="73"/>
      <c r="E9" s="73"/>
      <c r="F9" s="86">
        <f>IFERROR(COUNTIF('📋 Client Intake'!G5:G1004,"Hounslow")/COUNTA('📋 Client Intake'!C5:C1004),0)</f>
        <v>0.16666666666666666</v>
      </c>
      <c r="G9" s="73"/>
      <c r="H9" s="73"/>
      <c r="I9" s="73"/>
      <c r="J9" s="73"/>
      <c r="K9" s="86">
        <f>IFERROR(COUNTIF('📋 Client Intake'!J5:J1004,"Female")/COUNTA('📋 Client Intake'!C5:C1004),0)</f>
        <v>0.5</v>
      </c>
      <c r="L9" s="73"/>
      <c r="M9" s="73"/>
      <c r="N9" s="73"/>
      <c r="O9" s="73"/>
      <c r="P9" s="83">
        <f>COUNTIF('📋 Client Intake'!M5:M1004,"High")</f>
        <v>3</v>
      </c>
      <c r="Q9" s="73"/>
      <c r="R9" s="73"/>
      <c r="S9" s="73"/>
      <c r="T9" s="73"/>
      <c r="U9" s="83">
        <f>IFERROR(COUNTIFS('📋 Client Intake'!E5:E1004,"&gt;="&amp;'⚙ Settings'!C20,'📋 Client Intake'!E5:E1004,"&lt;="&amp;'⚙ Settings'!C21),0)</f>
        <v>1</v>
      </c>
      <c r="V9" s="73"/>
      <c r="W9" s="73"/>
      <c r="X9" s="73"/>
      <c r="Y9" s="73"/>
      <c r="Z9" s="73"/>
    </row>
    <row r="10" spans="1:26" ht="25.5" customHeight="1" x14ac:dyDescent="0.2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7.5" customHeight="1" x14ac:dyDescent="0.2">
      <c r="A11" s="84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27.75" customHeight="1" x14ac:dyDescent="0.2">
      <c r="A12" s="100" t="s">
        <v>13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30" customHeight="1" x14ac:dyDescent="0.2">
      <c r="A13" s="80" t="s">
        <v>14</v>
      </c>
      <c r="B13" s="73"/>
      <c r="C13" s="73"/>
      <c r="D13" s="73"/>
      <c r="E13" s="80" t="s">
        <v>15</v>
      </c>
      <c r="F13" s="73"/>
      <c r="G13" s="73"/>
      <c r="H13" s="73"/>
      <c r="I13" s="80" t="s">
        <v>16</v>
      </c>
      <c r="J13" s="73"/>
      <c r="K13" s="73"/>
      <c r="L13" s="73"/>
      <c r="M13" s="80" t="s">
        <v>17</v>
      </c>
      <c r="N13" s="73"/>
      <c r="O13" s="73"/>
      <c r="P13" s="73"/>
      <c r="Q13" s="80" t="s">
        <v>18</v>
      </c>
      <c r="R13" s="73"/>
      <c r="S13" s="73"/>
      <c r="T13" s="73"/>
      <c r="U13" s="80" t="s">
        <v>19</v>
      </c>
      <c r="V13" s="73"/>
      <c r="W13" s="73"/>
      <c r="X13" s="73"/>
      <c r="Y13" s="73"/>
      <c r="Z13" s="73"/>
    </row>
    <row r="14" spans="1:26" ht="21.75" customHeight="1" x14ac:dyDescent="0.2">
      <c r="A14" s="96" t="s">
        <v>20</v>
      </c>
      <c r="B14" s="73"/>
      <c r="C14" s="73"/>
      <c r="D14" s="73"/>
      <c r="E14" s="96" t="s">
        <v>21</v>
      </c>
      <c r="F14" s="73"/>
      <c r="G14" s="73"/>
      <c r="H14" s="73"/>
      <c r="I14" s="96" t="s">
        <v>22</v>
      </c>
      <c r="J14" s="73"/>
      <c r="K14" s="73"/>
      <c r="L14" s="73"/>
      <c r="M14" s="96" t="s">
        <v>23</v>
      </c>
      <c r="N14" s="73"/>
      <c r="O14" s="73"/>
      <c r="P14" s="73"/>
      <c r="Q14" s="96" t="s">
        <v>24</v>
      </c>
      <c r="R14" s="73"/>
      <c r="S14" s="73"/>
      <c r="T14" s="73"/>
      <c r="U14" s="96" t="s">
        <v>25</v>
      </c>
      <c r="V14" s="73"/>
      <c r="W14" s="73"/>
      <c r="X14" s="73"/>
      <c r="Y14" s="73"/>
      <c r="Z14" s="73"/>
    </row>
    <row r="15" spans="1:26" ht="21.75" customHeight="1" x14ac:dyDescent="0.2">
      <c r="A15" s="79">
        <f>COUNTIFS('📋 Client Intake'!AB5:AB1004,"Year 1")</f>
        <v>4</v>
      </c>
      <c r="B15" s="73"/>
      <c r="C15" s="73"/>
      <c r="D15" s="73"/>
      <c r="E15" s="79">
        <f>COUNTIFS('📋 Client Intake'!AB5:AB1004,"Year 2")</f>
        <v>2</v>
      </c>
      <c r="F15" s="73"/>
      <c r="G15" s="73"/>
      <c r="H15" s="73"/>
      <c r="I15" s="79">
        <f>COUNTIFS('📋 Client Intake'!AB5:AB1004,"Year 3")</f>
        <v>0</v>
      </c>
      <c r="J15" s="73"/>
      <c r="K15" s="73"/>
      <c r="L15" s="73"/>
      <c r="M15" s="79">
        <f>COUNTIFS('📋 Client Intake'!AB5:AB1004,"Year 4")</f>
        <v>0</v>
      </c>
      <c r="N15" s="73"/>
      <c r="O15" s="73"/>
      <c r="P15" s="73"/>
      <c r="Q15" s="79">
        <f>COUNTIFS('📋 Client Intake'!AB5:AB1004,"Year 5")</f>
        <v>0</v>
      </c>
      <c r="R15" s="73"/>
      <c r="S15" s="73"/>
      <c r="T15" s="73"/>
      <c r="U15" s="79">
        <f>COUNTA('📋 Client Intake'!C5:C1004)</f>
        <v>6</v>
      </c>
      <c r="V15" s="73"/>
      <c r="W15" s="73"/>
      <c r="X15" s="73"/>
      <c r="Y15" s="73"/>
      <c r="Z15" s="73"/>
    </row>
    <row r="16" spans="1:26" ht="21.75" customHeight="1" x14ac:dyDescent="0.2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21.75" customHeight="1" x14ac:dyDescent="0.2">
      <c r="A17" s="81">
        <f>IFERROR(A15/50,0)</f>
        <v>0.08</v>
      </c>
      <c r="B17" s="73"/>
      <c r="C17" s="73"/>
      <c r="D17" s="73"/>
      <c r="E17" s="81">
        <f>IFERROR(E15/100,0)</f>
        <v>0.02</v>
      </c>
      <c r="F17" s="73"/>
      <c r="G17" s="73"/>
      <c r="H17" s="73"/>
      <c r="I17" s="81">
        <f>IFERROR(I15/150,0)</f>
        <v>0</v>
      </c>
      <c r="J17" s="73"/>
      <c r="K17" s="73"/>
      <c r="L17" s="73"/>
      <c r="M17" s="81">
        <f>IFERROR(M15/200,0)</f>
        <v>0</v>
      </c>
      <c r="N17" s="73"/>
      <c r="O17" s="73"/>
      <c r="P17" s="73"/>
      <c r="Q17" s="81">
        <f>IFERROR(Q15/250,0)</f>
        <v>0</v>
      </c>
      <c r="R17" s="73"/>
      <c r="S17" s="73"/>
      <c r="T17" s="73"/>
      <c r="U17" s="81">
        <f>IFERROR(U15/750,0)</f>
        <v>8.0000000000000002E-3</v>
      </c>
      <c r="V17" s="73"/>
      <c r="W17" s="73"/>
      <c r="X17" s="73"/>
      <c r="Y17" s="73"/>
      <c r="Z17" s="73"/>
    </row>
    <row r="18" spans="1:26" ht="18" customHeight="1" x14ac:dyDescent="0.2">
      <c r="A18" s="97" t="s">
        <v>26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27.75" customHeight="1" x14ac:dyDescent="0.2">
      <c r="A19" s="100" t="s">
        <v>27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31.5" customHeight="1" x14ac:dyDescent="0.2">
      <c r="A20" s="80" t="s">
        <v>28</v>
      </c>
      <c r="B20" s="73"/>
      <c r="C20" s="73"/>
      <c r="D20" s="73"/>
      <c r="E20" s="73"/>
      <c r="F20" s="73"/>
      <c r="G20" s="73"/>
      <c r="H20" s="73"/>
      <c r="I20" s="80" t="s">
        <v>29</v>
      </c>
      <c r="J20" s="73"/>
      <c r="K20" s="73"/>
      <c r="L20" s="80" t="s">
        <v>30</v>
      </c>
      <c r="M20" s="73"/>
      <c r="N20" s="73"/>
      <c r="O20" s="80" t="s">
        <v>31</v>
      </c>
      <c r="P20" s="73"/>
      <c r="Q20" s="73"/>
      <c r="R20" s="80" t="s">
        <v>32</v>
      </c>
      <c r="S20" s="73"/>
      <c r="T20" s="73"/>
      <c r="U20" s="80" t="s">
        <v>33</v>
      </c>
      <c r="V20" s="73"/>
      <c r="W20" s="73"/>
      <c r="X20" s="80" t="s">
        <v>34</v>
      </c>
      <c r="Y20" s="73"/>
      <c r="Z20" s="1" t="s">
        <v>35</v>
      </c>
    </row>
    <row r="21" spans="1:26" ht="24" customHeight="1" x14ac:dyDescent="0.2">
      <c r="A21" s="74" t="s">
        <v>36</v>
      </c>
      <c r="B21" s="73"/>
      <c r="C21" s="73"/>
      <c r="D21" s="73"/>
      <c r="E21" s="73"/>
      <c r="F21" s="73"/>
      <c r="G21" s="73"/>
      <c r="H21" s="73"/>
      <c r="I21" s="90" t="s">
        <v>37</v>
      </c>
      <c r="J21" s="73"/>
      <c r="K21" s="73"/>
      <c r="L21" s="75">
        <f>COUNTIFS('📊 Outcome Tracker'!E5:E1004,"Yes",'📊 Outcome Tracker'!H5:H1004,"Year 1")</f>
        <v>0</v>
      </c>
      <c r="M21" s="73"/>
      <c r="N21" s="73"/>
      <c r="O21" s="75">
        <f>COUNTIFS('📊 Outcome Tracker'!E5:E1004,"Yes",'📊 Outcome Tracker'!H5:H1004,"Year 2")</f>
        <v>0</v>
      </c>
      <c r="P21" s="73"/>
      <c r="Q21" s="73"/>
      <c r="R21" s="75">
        <f>COUNTIFS('📊 Outcome Tracker'!E5:E1004,"Yes",'📊 Outcome Tracker'!H5:H1004,"Year 3")</f>
        <v>0</v>
      </c>
      <c r="S21" s="73"/>
      <c r="T21" s="73"/>
      <c r="U21" s="75">
        <f>COUNTIFS('📊 Outcome Tracker'!E5:E1004,"Yes",'📊 Outcome Tracker'!H5:H1004,"Year 4")</f>
        <v>0</v>
      </c>
      <c r="V21" s="73"/>
      <c r="W21" s="73"/>
      <c r="X21" s="75">
        <f>COUNTIFS('📊 Outcome Tracker'!E5:E1004,"Yes",'📊 Outcome Tracker'!H5:H1004,"Year 5")</f>
        <v>0</v>
      </c>
      <c r="Y21" s="73"/>
      <c r="Z21" s="4">
        <f>IFERROR(COUNTIF('📊 Outcome Tracker'!E5:E1004,"Yes")/80,0)</f>
        <v>6.25E-2</v>
      </c>
    </row>
    <row r="22" spans="1:26" ht="24" customHeight="1" x14ac:dyDescent="0.2">
      <c r="A22" s="99" t="s">
        <v>38</v>
      </c>
      <c r="B22" s="73"/>
      <c r="C22" s="73"/>
      <c r="D22" s="73"/>
      <c r="E22" s="73"/>
      <c r="F22" s="73"/>
      <c r="G22" s="73"/>
      <c r="H22" s="73"/>
      <c r="I22" s="90" t="s">
        <v>39</v>
      </c>
      <c r="J22" s="73"/>
      <c r="K22" s="73"/>
      <c r="L22" s="87">
        <f>COUNTIFS('📊 Outcome Tracker'!F5:F1004,"Yes",'📊 Outcome Tracker'!H5:H1004,"Year 1")</f>
        <v>0</v>
      </c>
      <c r="M22" s="73"/>
      <c r="N22" s="73"/>
      <c r="O22" s="87">
        <f>COUNTIFS('📊 Outcome Tracker'!F5:F1004,"Yes",'📊 Outcome Tracker'!H5:H1004,"Year 2")</f>
        <v>0</v>
      </c>
      <c r="P22" s="73"/>
      <c r="Q22" s="73"/>
      <c r="R22" s="87">
        <f>COUNTIFS('📊 Outcome Tracker'!F5:F1004,"Yes",'📊 Outcome Tracker'!H5:H1004,"Year 3")</f>
        <v>0</v>
      </c>
      <c r="S22" s="73"/>
      <c r="T22" s="73"/>
      <c r="U22" s="87">
        <f>COUNTIFS('📊 Outcome Tracker'!F5:F1004,"Yes",'📊 Outcome Tracker'!H5:H1004,"Year 4")</f>
        <v>0</v>
      </c>
      <c r="V22" s="73"/>
      <c r="W22" s="73"/>
      <c r="X22" s="87">
        <f>COUNTIFS('📊 Outcome Tracker'!F5:F1004,"Yes",'📊 Outcome Tracker'!H5:H1004,"Year 5")</f>
        <v>0</v>
      </c>
      <c r="Y22" s="73"/>
      <c r="Z22" s="7">
        <f>IFERROR(COUNTIF('📊 Outcome Tracker'!F5:F1004,"Yes")/60,0)</f>
        <v>0.05</v>
      </c>
    </row>
    <row r="23" spans="1:26" ht="24" customHeight="1" x14ac:dyDescent="0.2">
      <c r="A23" s="74" t="s">
        <v>40</v>
      </c>
      <c r="B23" s="73"/>
      <c r="C23" s="73"/>
      <c r="D23" s="73"/>
      <c r="E23" s="73"/>
      <c r="F23" s="73"/>
      <c r="G23" s="73"/>
      <c r="H23" s="73"/>
      <c r="I23" s="90" t="s">
        <v>41</v>
      </c>
      <c r="J23" s="73"/>
      <c r="K23" s="73"/>
      <c r="L23" s="75">
        <f>COUNTIFS('📊 Outcome Tracker'!G5:G1004,"Yes",'📊 Outcome Tracker'!H5:H1004,"Year 1")</f>
        <v>0</v>
      </c>
      <c r="M23" s="73"/>
      <c r="N23" s="73"/>
      <c r="O23" s="75">
        <f>COUNTIFS('📊 Outcome Tracker'!G5:G1004,"Yes",'📊 Outcome Tracker'!H5:H1004,"Year 2")</f>
        <v>0</v>
      </c>
      <c r="P23" s="73"/>
      <c r="Q23" s="73"/>
      <c r="R23" s="75">
        <f>COUNTIFS('📊 Outcome Tracker'!G5:G1004,"Yes",'📊 Outcome Tracker'!H5:H1004,"Year 3")</f>
        <v>0</v>
      </c>
      <c r="S23" s="73"/>
      <c r="T23" s="73"/>
      <c r="U23" s="75">
        <f>COUNTIFS('📊 Outcome Tracker'!G5:G1004,"Yes",'📊 Outcome Tracker'!H5:H1004,"Year 4")</f>
        <v>0</v>
      </c>
      <c r="V23" s="73"/>
      <c r="W23" s="73"/>
      <c r="X23" s="75">
        <f>COUNTIFS('📊 Outcome Tracker'!G5:G1004,"Yes",'📊 Outcome Tracker'!H5:H1004,"Year 5")</f>
        <v>0</v>
      </c>
      <c r="Y23" s="73"/>
      <c r="Z23" s="4">
        <f>IFERROR(COUNTIF('📊 Outcome Tracker'!G5:G1004,"Yes")/20,0)</f>
        <v>0.05</v>
      </c>
    </row>
    <row r="24" spans="1:26" ht="24" customHeight="1" x14ac:dyDescent="0.2">
      <c r="A24" s="99" t="s">
        <v>42</v>
      </c>
      <c r="B24" s="73"/>
      <c r="C24" s="73"/>
      <c r="D24" s="73"/>
      <c r="E24" s="73"/>
      <c r="F24" s="73"/>
      <c r="G24" s="73"/>
      <c r="H24" s="73"/>
      <c r="I24" s="90" t="s">
        <v>43</v>
      </c>
      <c r="J24" s="73"/>
      <c r="K24" s="73"/>
      <c r="L24" s="87">
        <f>COUNTIFS('📊 Outcome Tracker'!H5:H1004,"Yes",'📊 Outcome Tracker'!H5:H1004,"Year 1")</f>
        <v>0</v>
      </c>
      <c r="M24" s="73"/>
      <c r="N24" s="73"/>
      <c r="O24" s="87">
        <f>COUNTIFS('📊 Outcome Tracker'!H5:H1004,"Yes",'📊 Outcome Tracker'!H5:H1004,"Year 2")</f>
        <v>0</v>
      </c>
      <c r="P24" s="73"/>
      <c r="Q24" s="73"/>
      <c r="R24" s="87">
        <f>COUNTIFS('📊 Outcome Tracker'!H5:H1004,"Yes",'📊 Outcome Tracker'!H5:H1004,"Year 3")</f>
        <v>0</v>
      </c>
      <c r="S24" s="73"/>
      <c r="T24" s="73"/>
      <c r="U24" s="87">
        <f>COUNTIFS('📊 Outcome Tracker'!H5:H1004,"Yes",'📊 Outcome Tracker'!H5:H1004,"Year 4")</f>
        <v>0</v>
      </c>
      <c r="V24" s="73"/>
      <c r="W24" s="73"/>
      <c r="X24" s="87">
        <f>COUNTIFS('📊 Outcome Tracker'!H5:H1004,"Yes",'📊 Outcome Tracker'!H5:H1004,"Year 5")</f>
        <v>0</v>
      </c>
      <c r="Y24" s="73"/>
      <c r="Z24" s="7">
        <f>IFERROR(COUNTIF('📊 Outcome Tracker'!H5:H1004,"Yes")/85,0)</f>
        <v>7.0588235294117646E-2</v>
      </c>
    </row>
    <row r="25" spans="1:26" ht="24" customHeight="1" x14ac:dyDescent="0.2">
      <c r="A25" s="74" t="s">
        <v>44</v>
      </c>
      <c r="B25" s="73"/>
      <c r="C25" s="73"/>
      <c r="D25" s="73"/>
      <c r="E25" s="73"/>
      <c r="F25" s="73"/>
      <c r="G25" s="73"/>
      <c r="H25" s="73"/>
      <c r="I25" s="90" t="s">
        <v>45</v>
      </c>
      <c r="J25" s="73"/>
      <c r="K25" s="73"/>
      <c r="L25" s="75">
        <f>COUNTIFS('📊 Outcome Tracker'!I5:I1004,"Yes",'📊 Outcome Tracker'!H5:H1004,"Year 1")</f>
        <v>0</v>
      </c>
      <c r="M25" s="73"/>
      <c r="N25" s="73"/>
      <c r="O25" s="75">
        <f>COUNTIFS('📊 Outcome Tracker'!I5:I1004,"Yes",'📊 Outcome Tracker'!H5:H1004,"Year 2")</f>
        <v>0</v>
      </c>
      <c r="P25" s="73"/>
      <c r="Q25" s="73"/>
      <c r="R25" s="75">
        <f>COUNTIFS('📊 Outcome Tracker'!I5:I1004,"Yes",'📊 Outcome Tracker'!H5:H1004,"Year 3")</f>
        <v>0</v>
      </c>
      <c r="S25" s="73"/>
      <c r="T25" s="73"/>
      <c r="U25" s="75">
        <f>COUNTIFS('📊 Outcome Tracker'!I5:I1004,"Yes",'📊 Outcome Tracker'!H5:H1004,"Year 4")</f>
        <v>0</v>
      </c>
      <c r="V25" s="73"/>
      <c r="W25" s="73"/>
      <c r="X25" s="75">
        <f>COUNTIFS('📊 Outcome Tracker'!I5:I1004,"Yes",'📊 Outcome Tracker'!H5:H1004,"Year 5")</f>
        <v>0</v>
      </c>
      <c r="Y25" s="73"/>
      <c r="Z25" s="4">
        <f>IFERROR(COUNTIF('📊 Outcome Tracker'!I5:I1004,"Yes")/10,0)</f>
        <v>0</v>
      </c>
    </row>
    <row r="26" spans="1:26" ht="7.5" customHeight="1" x14ac:dyDescent="0.2">
      <c r="A26" s="84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27.75" customHeight="1" x14ac:dyDescent="0.2">
      <c r="A27" s="100" t="s">
        <v>46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24" customHeight="1" x14ac:dyDescent="0.2">
      <c r="A28" s="80" t="s">
        <v>47</v>
      </c>
      <c r="B28" s="73"/>
      <c r="C28" s="73"/>
      <c r="D28" s="73"/>
      <c r="E28" s="73"/>
      <c r="F28" s="73"/>
      <c r="G28" s="73"/>
      <c r="H28" s="73"/>
      <c r="I28" s="73"/>
      <c r="K28" s="72" t="s">
        <v>48</v>
      </c>
      <c r="L28" s="73"/>
      <c r="M28" s="73"/>
      <c r="N28" s="73"/>
      <c r="O28" s="73"/>
      <c r="P28" s="73"/>
      <c r="Q28" s="73"/>
      <c r="R28" s="73"/>
      <c r="T28" s="91" t="s">
        <v>49</v>
      </c>
      <c r="U28" s="73"/>
      <c r="V28" s="73"/>
      <c r="W28" s="73"/>
      <c r="X28" s="73"/>
      <c r="Y28" s="73"/>
      <c r="Z28" s="73"/>
    </row>
    <row r="29" spans="1:26" ht="21.75" customHeight="1" x14ac:dyDescent="0.2">
      <c r="A29" s="95" t="s">
        <v>50</v>
      </c>
      <c r="B29" s="73"/>
      <c r="C29" s="73"/>
      <c r="D29" s="95" t="s">
        <v>51</v>
      </c>
      <c r="E29" s="73"/>
      <c r="F29" s="73"/>
      <c r="G29" s="95" t="s">
        <v>52</v>
      </c>
      <c r="H29" s="73"/>
      <c r="I29" s="73"/>
      <c r="K29" s="85" t="s">
        <v>53</v>
      </c>
      <c r="L29" s="73"/>
      <c r="M29" s="73"/>
      <c r="N29" s="85" t="s">
        <v>54</v>
      </c>
      <c r="O29" s="73"/>
      <c r="P29" s="73"/>
      <c r="Q29" s="85" t="s">
        <v>55</v>
      </c>
      <c r="R29" s="73"/>
      <c r="T29" s="76" t="s">
        <v>56</v>
      </c>
      <c r="U29" s="73"/>
      <c r="V29" s="73"/>
      <c r="W29" s="76" t="s">
        <v>57</v>
      </c>
      <c r="X29" s="73"/>
      <c r="Y29" s="76" t="s">
        <v>58</v>
      </c>
      <c r="Z29" s="73"/>
    </row>
    <row r="30" spans="1:26" ht="21.75" customHeight="1" x14ac:dyDescent="0.2">
      <c r="A30" s="92">
        <f>COUNTIF('📋 Client Intake'!G5:G1004,"Ealing")</f>
        <v>3</v>
      </c>
      <c r="B30" s="73"/>
      <c r="C30" s="73"/>
      <c r="D30" s="92">
        <f>COUNTIF('📋 Client Intake'!G5:G1004,"Hillingdon")</f>
        <v>2</v>
      </c>
      <c r="E30" s="73"/>
      <c r="F30" s="73"/>
      <c r="G30" s="92">
        <f>COUNTIF('📋 Client Intake'!G5:G1004,"Hounslow")</f>
        <v>1</v>
      </c>
      <c r="H30" s="73"/>
      <c r="I30" s="73"/>
      <c r="K30" s="93">
        <f>COUNTIF('📋 Client Intake'!I5:I1004,"Under 25")</f>
        <v>0</v>
      </c>
      <c r="L30" s="73"/>
      <c r="M30" s="73"/>
      <c r="N30" s="93">
        <f>COUNTIF('📋 Client Intake'!I5:I1004,"25-49")</f>
        <v>0</v>
      </c>
      <c r="O30" s="73"/>
      <c r="P30" s="73"/>
      <c r="Q30" s="93">
        <f>COUNTIF('📋 Client Intake'!I5:I1004,"50-64")+COUNTIF('📋 Client Intake'!I5:I1004,"65+")</f>
        <v>0</v>
      </c>
      <c r="R30" s="73"/>
      <c r="T30" s="94">
        <f>COUNTIF('📋 Client Intake'!J5:J1004,"Female")</f>
        <v>3</v>
      </c>
      <c r="U30" s="73"/>
      <c r="V30" s="73"/>
      <c r="W30" s="94">
        <f>COUNTIF('📋 Client Intake'!J5:J1004,"Male")</f>
        <v>2</v>
      </c>
      <c r="X30" s="73"/>
      <c r="Y30" s="94">
        <f>COUNTIF('📋 Client Intake'!J5:J1004,"Non-binary/Other")</f>
        <v>0</v>
      </c>
      <c r="Z30" s="73"/>
    </row>
    <row r="31" spans="1:26" ht="21.75" customHeight="1" x14ac:dyDescent="0.2">
      <c r="A31" s="73"/>
      <c r="B31" s="73"/>
      <c r="C31" s="73"/>
      <c r="D31" s="73"/>
      <c r="E31" s="73"/>
      <c r="F31" s="73"/>
      <c r="G31" s="73"/>
      <c r="H31" s="73"/>
      <c r="I31" s="73"/>
      <c r="K31" s="73"/>
      <c r="L31" s="73"/>
      <c r="M31" s="73"/>
      <c r="N31" s="73"/>
      <c r="O31" s="73"/>
      <c r="P31" s="73"/>
      <c r="Q31" s="73"/>
      <c r="R31" s="73"/>
      <c r="T31" s="73"/>
      <c r="U31" s="73"/>
      <c r="V31" s="73"/>
      <c r="W31" s="73"/>
      <c r="X31" s="73"/>
      <c r="Y31" s="73"/>
      <c r="Z31" s="73"/>
    </row>
    <row r="32" spans="1:26" ht="7.5" customHeight="1" x14ac:dyDescent="0.2">
      <c r="A32" s="84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27.75" customHeight="1" x14ac:dyDescent="0.2">
      <c r="A33" s="100" t="s">
        <v>59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24" customHeight="1" x14ac:dyDescent="0.2">
      <c r="A34" s="111" t="s">
        <v>60</v>
      </c>
      <c r="B34" s="73"/>
      <c r="C34" s="73"/>
      <c r="D34" s="73"/>
      <c r="E34" s="73"/>
      <c r="F34" s="73"/>
      <c r="G34" s="73"/>
      <c r="H34" s="73"/>
      <c r="I34" s="102" t="s">
        <v>61</v>
      </c>
      <c r="J34" s="73"/>
      <c r="K34" s="73"/>
      <c r="L34" s="73"/>
      <c r="M34" s="73"/>
      <c r="N34" s="73"/>
      <c r="O34" s="73"/>
      <c r="P34" s="73"/>
      <c r="Q34" s="73"/>
      <c r="R34" s="108" t="s">
        <v>62</v>
      </c>
      <c r="S34" s="73"/>
      <c r="T34" s="73"/>
      <c r="U34" s="73"/>
      <c r="V34" s="73"/>
      <c r="W34" s="73"/>
      <c r="X34" s="73"/>
      <c r="Y34" s="73"/>
      <c r="Z34" s="73"/>
    </row>
    <row r="35" spans="1:26" ht="24" customHeight="1" x14ac:dyDescent="0.2">
      <c r="A35" s="110">
        <f>COUNTIF('📋 Client Intake'!M5:M1004,"High")</f>
        <v>3</v>
      </c>
      <c r="B35" s="73"/>
      <c r="C35" s="73"/>
      <c r="D35" s="73"/>
      <c r="E35" s="73"/>
      <c r="F35" s="73"/>
      <c r="G35" s="73"/>
      <c r="H35" s="73"/>
      <c r="I35" s="83">
        <f>COUNTIF('📋 Client Intake'!M5:M1004,"Medium")</f>
        <v>2</v>
      </c>
      <c r="J35" s="73"/>
      <c r="K35" s="73"/>
      <c r="L35" s="73"/>
      <c r="M35" s="73"/>
      <c r="N35" s="73"/>
      <c r="O35" s="73"/>
      <c r="P35" s="73"/>
      <c r="Q35" s="73"/>
      <c r="R35" s="105">
        <f>COUNTIF('📋 Client Intake'!M5:M1004,"Low")</f>
        <v>1</v>
      </c>
      <c r="S35" s="73"/>
      <c r="T35" s="73"/>
      <c r="U35" s="73"/>
      <c r="V35" s="73"/>
      <c r="W35" s="73"/>
      <c r="X35" s="73"/>
      <c r="Y35" s="73"/>
      <c r="Z35" s="73"/>
    </row>
    <row r="36" spans="1:26" ht="24" customHeight="1" x14ac:dyDescent="0.2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7.5" customHeight="1" x14ac:dyDescent="0.2">
      <c r="A37" s="84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27.75" customHeight="1" x14ac:dyDescent="0.2">
      <c r="A38" s="106" t="s">
        <v>63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25.5" customHeight="1" x14ac:dyDescent="0.2">
      <c r="A39" s="78" t="s">
        <v>64</v>
      </c>
      <c r="B39" s="73"/>
      <c r="C39" s="73"/>
      <c r="D39" s="73"/>
      <c r="E39" s="73"/>
      <c r="F39" s="73"/>
      <c r="G39" s="78" t="s">
        <v>65</v>
      </c>
      <c r="H39" s="73"/>
      <c r="I39" s="73"/>
      <c r="J39" s="73"/>
      <c r="K39" s="73"/>
      <c r="L39" s="73"/>
      <c r="M39" s="78" t="s">
        <v>66</v>
      </c>
      <c r="N39" s="73"/>
      <c r="O39" s="73"/>
      <c r="P39" s="73"/>
      <c r="Q39" s="73"/>
      <c r="R39" s="73"/>
      <c r="S39" s="78" t="s">
        <v>67</v>
      </c>
      <c r="T39" s="73"/>
      <c r="U39" s="73"/>
      <c r="V39" s="73"/>
      <c r="W39" s="73"/>
      <c r="X39" s="73"/>
      <c r="Y39" s="73"/>
      <c r="Z39" s="73"/>
    </row>
    <row r="40" spans="1:26" ht="25.5" customHeight="1" x14ac:dyDescent="0.2">
      <c r="A40" s="88">
        <f>IFERROR(COUNTIFS('📋 Client Intake'!E5:E1004,"&gt;="&amp;'⚙ Settings'!C20,'📋 Client Intake'!E5:E1004,"&lt;="&amp;'⚙ Settings'!C21),0)</f>
        <v>1</v>
      </c>
      <c r="B40" s="73"/>
      <c r="C40" s="73"/>
      <c r="D40" s="73"/>
      <c r="E40" s="73"/>
      <c r="F40" s="73"/>
      <c r="G40" s="88">
        <f>IFERROR(COUNTIFS('📅 Activities'!A19:A1000,"&gt;="&amp;'⚙ Settings'!C20,'📅 Activities'!A19:A1000,"&lt;="&amp;'⚙ Settings'!C21),0)</f>
        <v>0</v>
      </c>
      <c r="H40" s="73"/>
      <c r="I40" s="73"/>
      <c r="J40" s="73"/>
      <c r="K40" s="73"/>
      <c r="L40" s="73"/>
      <c r="M40" s="88">
        <f>IFERROR(COUNTIFS('📋 Client Intake'!F5:F1004,"Closed",'📋 Client Intake'!E5:E1004,"&gt;="&amp;'⚙ Settings'!C20),0)</f>
        <v>0</v>
      </c>
      <c r="N40" s="73"/>
      <c r="O40" s="73"/>
      <c r="P40" s="73"/>
      <c r="Q40" s="73"/>
      <c r="R40" s="73"/>
      <c r="S40" s="88">
        <f>IFERROR(COUNTIFS('📋 Client Intake'!E5:E1004,"&gt;="&amp;'⚙ Settings'!C20,'📋 Client Intake'!E5:E1004,"&lt;="&amp;'⚙ Settings'!C21),0)</f>
        <v>1</v>
      </c>
      <c r="T40" s="73"/>
      <c r="U40" s="73"/>
      <c r="V40" s="73"/>
      <c r="W40" s="73"/>
      <c r="X40" s="73"/>
      <c r="Y40" s="73"/>
      <c r="Z40" s="73"/>
    </row>
    <row r="41" spans="1:26" ht="25.5" customHeight="1" x14ac:dyDescent="0.2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7.5" customHeight="1" x14ac:dyDescent="0.2">
      <c r="A42" s="84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27.75" customHeight="1" x14ac:dyDescent="0.2">
      <c r="A43" s="107" t="s">
        <v>68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25.5" customHeight="1" x14ac:dyDescent="0.2">
      <c r="A44" s="91" t="s">
        <v>69</v>
      </c>
      <c r="B44" s="73"/>
      <c r="C44" s="73"/>
      <c r="D44" s="73"/>
      <c r="E44" s="73"/>
      <c r="F44" s="73"/>
      <c r="G44" s="91" t="s">
        <v>70</v>
      </c>
      <c r="H44" s="73"/>
      <c r="I44" s="73"/>
      <c r="J44" s="73"/>
      <c r="K44" s="73"/>
      <c r="L44" s="73"/>
      <c r="M44" s="91" t="s">
        <v>71</v>
      </c>
      <c r="N44" s="73"/>
      <c r="O44" s="73"/>
      <c r="P44" s="73"/>
      <c r="Q44" s="73"/>
      <c r="R44" s="73"/>
      <c r="S44" s="91" t="s">
        <v>72</v>
      </c>
      <c r="T44" s="73"/>
      <c r="U44" s="73"/>
      <c r="V44" s="73"/>
      <c r="W44" s="73"/>
      <c r="X44" s="73"/>
      <c r="Y44" s="73"/>
      <c r="Z44" s="73"/>
    </row>
    <row r="45" spans="1:26" ht="25.5" customHeight="1" x14ac:dyDescent="0.2">
      <c r="A45" s="82">
        <f>COUNTIF('🙋 Volunteer Log'!G12:G211,"Active")</f>
        <v>4</v>
      </c>
      <c r="B45" s="73"/>
      <c r="C45" s="73"/>
      <c r="D45" s="73"/>
      <c r="E45" s="73"/>
      <c r="F45" s="73"/>
      <c r="G45" s="82">
        <f>SUM('🙋 Volunteer Log'!J12:J211)</f>
        <v>54</v>
      </c>
      <c r="H45" s="73"/>
      <c r="I45" s="73"/>
      <c r="J45" s="73"/>
      <c r="K45" s="73"/>
      <c r="L45" s="73"/>
      <c r="M45" s="82">
        <f>COUNTIF('🙋 Volunteer Log'!F12:F211,"Complete")</f>
        <v>0</v>
      </c>
      <c r="N45" s="73"/>
      <c r="O45" s="73"/>
      <c r="P45" s="73"/>
      <c r="Q45" s="73"/>
      <c r="R45" s="73"/>
      <c r="S45" s="82">
        <f>COUNTA('🎓 Training Register'!B11:B500)</f>
        <v>4</v>
      </c>
      <c r="T45" s="73"/>
      <c r="U45" s="73"/>
      <c r="V45" s="73"/>
      <c r="W45" s="73"/>
      <c r="X45" s="73"/>
      <c r="Y45" s="73"/>
      <c r="Z45" s="73"/>
    </row>
    <row r="46" spans="1:26" ht="25.5" customHeight="1" x14ac:dyDescent="0.2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</sheetData>
  <mergeCells count="145">
    <mergeCell ref="A34:H34"/>
    <mergeCell ref="A1:Z1"/>
    <mergeCell ref="U6:Z7"/>
    <mergeCell ref="A25:H25"/>
    <mergeCell ref="A30:C31"/>
    <mergeCell ref="Q13:T13"/>
    <mergeCell ref="U15:Z16"/>
    <mergeCell ref="R22:T22"/>
    <mergeCell ref="F5:J5"/>
    <mergeCell ref="Q15:T16"/>
    <mergeCell ref="F8:J8"/>
    <mergeCell ref="A24:H24"/>
    <mergeCell ref="Q17:T17"/>
    <mergeCell ref="K5:O5"/>
    <mergeCell ref="I21:K21"/>
    <mergeCell ref="T28:Z28"/>
    <mergeCell ref="U9:Z10"/>
    <mergeCell ref="I13:L13"/>
    <mergeCell ref="U21:W21"/>
    <mergeCell ref="Q29:R29"/>
    <mergeCell ref="I23:K23"/>
    <mergeCell ref="K30:M31"/>
    <mergeCell ref="E15:H16"/>
    <mergeCell ref="A29:C29"/>
    <mergeCell ref="E14:H14"/>
    <mergeCell ref="M40:R41"/>
    <mergeCell ref="P6:T7"/>
    <mergeCell ref="A4:Z4"/>
    <mergeCell ref="R35:Z36"/>
    <mergeCell ref="A38:Z38"/>
    <mergeCell ref="A43:Z43"/>
    <mergeCell ref="K29:M29"/>
    <mergeCell ref="R34:Z34"/>
    <mergeCell ref="R24:T24"/>
    <mergeCell ref="A17:D17"/>
    <mergeCell ref="L24:N24"/>
    <mergeCell ref="I22:K22"/>
    <mergeCell ref="M17:P17"/>
    <mergeCell ref="I14:L14"/>
    <mergeCell ref="O22:Q22"/>
    <mergeCell ref="M14:P14"/>
    <mergeCell ref="S40:Z41"/>
    <mergeCell ref="Q30:R31"/>
    <mergeCell ref="R20:T20"/>
    <mergeCell ref="A13:D13"/>
    <mergeCell ref="M15:P16"/>
    <mergeCell ref="O21:Q21"/>
    <mergeCell ref="I24:K24"/>
    <mergeCell ref="L25:N25"/>
    <mergeCell ref="A5:E5"/>
    <mergeCell ref="A2:Z2"/>
    <mergeCell ref="A22:H22"/>
    <mergeCell ref="P9:T10"/>
    <mergeCell ref="M44:R44"/>
    <mergeCell ref="O24:Q24"/>
    <mergeCell ref="M13:P13"/>
    <mergeCell ref="A20:H20"/>
    <mergeCell ref="A27:Z27"/>
    <mergeCell ref="K6:O7"/>
    <mergeCell ref="U22:W22"/>
    <mergeCell ref="A39:F39"/>
    <mergeCell ref="Q14:T14"/>
    <mergeCell ref="I34:Q34"/>
    <mergeCell ref="A33:Z33"/>
    <mergeCell ref="E13:H13"/>
    <mergeCell ref="W30:X31"/>
    <mergeCell ref="A42:Z42"/>
    <mergeCell ref="D29:F29"/>
    <mergeCell ref="A28:I28"/>
    <mergeCell ref="X20:Y20"/>
    <mergeCell ref="A44:F44"/>
    <mergeCell ref="A3:Z3"/>
    <mergeCell ref="A12:Z12"/>
    <mergeCell ref="P5:T5"/>
    <mergeCell ref="I25:K25"/>
    <mergeCell ref="S44:Z44"/>
    <mergeCell ref="X21:Y21"/>
    <mergeCell ref="I17:L17"/>
    <mergeCell ref="U25:W25"/>
    <mergeCell ref="D30:F31"/>
    <mergeCell ref="L23:N23"/>
    <mergeCell ref="N30:P31"/>
    <mergeCell ref="R21:T21"/>
    <mergeCell ref="X23:Y23"/>
    <mergeCell ref="O25:Q25"/>
    <mergeCell ref="A40:F41"/>
    <mergeCell ref="T30:V31"/>
    <mergeCell ref="Y29:Z29"/>
    <mergeCell ref="P8:T8"/>
    <mergeCell ref="U8:Z8"/>
    <mergeCell ref="I20:K20"/>
    <mergeCell ref="G29:I29"/>
    <mergeCell ref="A9:E10"/>
    <mergeCell ref="U20:W20"/>
    <mergeCell ref="K9:O10"/>
    <mergeCell ref="U23:W23"/>
    <mergeCell ref="U5:Z5"/>
    <mergeCell ref="G45:L46"/>
    <mergeCell ref="I35:Q36"/>
    <mergeCell ref="U13:Z13"/>
    <mergeCell ref="L20:N20"/>
    <mergeCell ref="A11:Z11"/>
    <mergeCell ref="N29:P29"/>
    <mergeCell ref="F9:J10"/>
    <mergeCell ref="U24:W24"/>
    <mergeCell ref="S39:Z39"/>
    <mergeCell ref="G40:L41"/>
    <mergeCell ref="L22:N22"/>
    <mergeCell ref="S45:Z46"/>
    <mergeCell ref="L21:N21"/>
    <mergeCell ref="A37:Z37"/>
    <mergeCell ref="E17:H17"/>
    <mergeCell ref="A21:H21"/>
    <mergeCell ref="X24:Y24"/>
    <mergeCell ref="A26:Z26"/>
    <mergeCell ref="M45:R46"/>
    <mergeCell ref="O23:Q23"/>
    <mergeCell ref="U14:Z14"/>
    <mergeCell ref="A18:Z18"/>
    <mergeCell ref="G44:L44"/>
    <mergeCell ref="A45:F46"/>
    <mergeCell ref="A8:E8"/>
    <mergeCell ref="A23:H23"/>
    <mergeCell ref="X25:Y25"/>
    <mergeCell ref="W29:X29"/>
    <mergeCell ref="A6:E7"/>
    <mergeCell ref="M39:R39"/>
    <mergeCell ref="I15:L16"/>
    <mergeCell ref="O20:Q20"/>
    <mergeCell ref="U17:Z17"/>
    <mergeCell ref="K8:O8"/>
    <mergeCell ref="R23:T23"/>
    <mergeCell ref="F6:J7"/>
    <mergeCell ref="A32:Z32"/>
    <mergeCell ref="T29:V29"/>
    <mergeCell ref="A35:H36"/>
    <mergeCell ref="Y30:Z31"/>
    <mergeCell ref="G30:I31"/>
    <mergeCell ref="A15:D16"/>
    <mergeCell ref="G39:L39"/>
    <mergeCell ref="X22:Y22"/>
    <mergeCell ref="K28:R28"/>
    <mergeCell ref="R25:T25"/>
    <mergeCell ref="A19:Z19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4"/>
  <sheetViews>
    <sheetView showGridLines="0" zoomScale="272" zoomScaleNormal="272" workbookViewId="0">
      <selection activeCell="C5" sqref="C5"/>
    </sheetView>
  </sheetViews>
  <sheetFormatPr baseColWidth="10" defaultColWidth="8.83203125" defaultRowHeight="15" customHeight="1" x14ac:dyDescent="0.2"/>
  <cols>
    <col min="1" max="1" width="12" customWidth="1"/>
    <col min="2" max="2" width="22" customWidth="1"/>
    <col min="3" max="3" width="12" customWidth="1"/>
    <col min="4" max="4" width="18" customWidth="1"/>
    <col min="5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2" customWidth="1"/>
    <col min="14" max="14" width="16" customWidth="1"/>
    <col min="15" max="22" width="10" customWidth="1"/>
    <col min="23" max="23" width="16" customWidth="1"/>
    <col min="24" max="24" width="14" customWidth="1"/>
    <col min="25" max="25" width="16" customWidth="1"/>
    <col min="26" max="26" width="20" customWidth="1"/>
    <col min="27" max="27" width="18" customWidth="1"/>
    <col min="28" max="28" width="12" customWidth="1"/>
    <col min="29" max="29" width="35" customWidth="1"/>
  </cols>
  <sheetData>
    <row r="1" spans="1:29" ht="37.5" customHeight="1" x14ac:dyDescent="0.2">
      <c r="A1" s="114" t="s">
        <v>73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29" ht="19.5" customHeight="1" x14ac:dyDescent="0.2">
      <c r="A2" s="112" t="s">
        <v>74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29" ht="21.75" customHeight="1" x14ac:dyDescent="0.2">
      <c r="A3" s="113" t="s">
        <v>75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115" t="s">
        <v>76</v>
      </c>
      <c r="P3" s="73"/>
      <c r="Q3" s="73"/>
      <c r="R3" s="73"/>
      <c r="S3" s="73"/>
      <c r="T3" s="73"/>
      <c r="U3" s="73"/>
      <c r="V3" s="73"/>
    </row>
    <row r="4" spans="1:29" ht="39.75" customHeight="1" x14ac:dyDescent="0.2">
      <c r="A4" s="12" t="s">
        <v>77</v>
      </c>
      <c r="B4" s="12" t="s">
        <v>78</v>
      </c>
      <c r="C4" s="12" t="s">
        <v>79</v>
      </c>
      <c r="D4" s="12" t="s">
        <v>80</v>
      </c>
      <c r="E4" s="12" t="s">
        <v>81</v>
      </c>
      <c r="F4" s="12" t="s">
        <v>82</v>
      </c>
      <c r="G4" s="12" t="s">
        <v>83</v>
      </c>
      <c r="H4" s="12" t="s">
        <v>84</v>
      </c>
      <c r="I4" s="12" t="s">
        <v>85</v>
      </c>
      <c r="J4" s="12" t="s">
        <v>86</v>
      </c>
      <c r="K4" s="12" t="s">
        <v>87</v>
      </c>
      <c r="L4" s="12" t="s">
        <v>88</v>
      </c>
      <c r="M4" s="12" t="s">
        <v>89</v>
      </c>
      <c r="N4" s="12" t="s">
        <v>90</v>
      </c>
      <c r="O4" s="13" t="s">
        <v>91</v>
      </c>
      <c r="P4" s="13" t="s">
        <v>92</v>
      </c>
      <c r="Q4" s="13" t="s">
        <v>93</v>
      </c>
      <c r="R4" s="13" t="s">
        <v>94</v>
      </c>
      <c r="S4" s="13" t="s">
        <v>95</v>
      </c>
      <c r="T4" s="13" t="s">
        <v>96</v>
      </c>
      <c r="U4" s="13" t="s">
        <v>97</v>
      </c>
      <c r="V4" s="13" t="s">
        <v>98</v>
      </c>
      <c r="W4" s="12" t="s">
        <v>99</v>
      </c>
      <c r="X4" s="12" t="s">
        <v>100</v>
      </c>
      <c r="Y4" s="12" t="s">
        <v>101</v>
      </c>
      <c r="Z4" s="12" t="s">
        <v>102</v>
      </c>
      <c r="AA4" s="12" t="s">
        <v>103</v>
      </c>
      <c r="AB4" s="12" t="s">
        <v>104</v>
      </c>
      <c r="AC4" s="12" t="s">
        <v>105</v>
      </c>
    </row>
    <row r="5" spans="1:29" ht="18" customHeight="1" x14ac:dyDescent="0.2">
      <c r="A5" t="str">
        <f t="shared" ref="A5:A68" si="0">IF(C5&lt;&gt;"","HC/"&amp;(ROW()-4),"")</f>
        <v>HC/1</v>
      </c>
      <c r="B5" t="s">
        <v>106</v>
      </c>
      <c r="C5" t="s">
        <v>107</v>
      </c>
      <c r="D5" t="s">
        <v>108</v>
      </c>
      <c r="E5" s="14">
        <v>46168</v>
      </c>
      <c r="F5" t="s">
        <v>109</v>
      </c>
      <c r="G5" t="s">
        <v>50</v>
      </c>
      <c r="H5" t="s">
        <v>110</v>
      </c>
      <c r="I5" t="s">
        <v>111</v>
      </c>
      <c r="J5" t="s">
        <v>56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W5" t="s">
        <v>117</v>
      </c>
      <c r="X5" t="s">
        <v>118</v>
      </c>
      <c r="Y5" t="s">
        <v>119</v>
      </c>
      <c r="Z5" t="s">
        <v>120</v>
      </c>
      <c r="AA5" t="s">
        <v>110</v>
      </c>
      <c r="AB5" t="s">
        <v>121</v>
      </c>
      <c r="AC5" s="15" t="s">
        <v>122</v>
      </c>
    </row>
    <row r="6" spans="1:29" ht="18" customHeight="1" x14ac:dyDescent="0.2">
      <c r="A6" t="str">
        <f t="shared" si="0"/>
        <v>HC/2</v>
      </c>
      <c r="B6" t="s">
        <v>123</v>
      </c>
      <c r="C6" t="s">
        <v>124</v>
      </c>
      <c r="D6" t="s">
        <v>125</v>
      </c>
      <c r="E6" s="16">
        <v>46001</v>
      </c>
      <c r="F6" t="s">
        <v>109</v>
      </c>
      <c r="G6" t="s">
        <v>51</v>
      </c>
      <c r="H6" t="s">
        <v>126</v>
      </c>
      <c r="I6" t="s">
        <v>127</v>
      </c>
      <c r="J6" t="s">
        <v>57</v>
      </c>
      <c r="K6" t="s">
        <v>128</v>
      </c>
      <c r="L6" t="s">
        <v>129</v>
      </c>
      <c r="M6" t="s">
        <v>130</v>
      </c>
      <c r="N6" t="s">
        <v>131</v>
      </c>
      <c r="O6" t="s">
        <v>116</v>
      </c>
      <c r="P6" t="s">
        <v>116</v>
      </c>
      <c r="W6" t="s">
        <v>132</v>
      </c>
      <c r="X6" t="s">
        <v>118</v>
      </c>
      <c r="Y6" t="s">
        <v>133</v>
      </c>
      <c r="Z6" t="s">
        <v>134</v>
      </c>
      <c r="AA6" t="s">
        <v>135</v>
      </c>
      <c r="AB6" t="s">
        <v>121</v>
      </c>
      <c r="AC6" s="15" t="s">
        <v>136</v>
      </c>
    </row>
    <row r="7" spans="1:29" ht="18" customHeight="1" x14ac:dyDescent="0.2">
      <c r="A7" t="str">
        <f t="shared" si="0"/>
        <v>HC/3</v>
      </c>
      <c r="B7" t="s">
        <v>137</v>
      </c>
      <c r="C7" t="s">
        <v>138</v>
      </c>
      <c r="D7" t="s">
        <v>139</v>
      </c>
      <c r="E7" s="16">
        <v>46037</v>
      </c>
      <c r="F7" t="s">
        <v>109</v>
      </c>
      <c r="G7" t="s">
        <v>50</v>
      </c>
      <c r="H7" t="s">
        <v>140</v>
      </c>
      <c r="I7" t="s">
        <v>111</v>
      </c>
      <c r="J7" t="s">
        <v>56</v>
      </c>
      <c r="K7" t="s">
        <v>141</v>
      </c>
      <c r="L7" t="s">
        <v>142</v>
      </c>
      <c r="M7" t="s">
        <v>114</v>
      </c>
      <c r="N7" t="s">
        <v>143</v>
      </c>
      <c r="O7" t="s">
        <v>116</v>
      </c>
      <c r="S7" t="s">
        <v>116</v>
      </c>
      <c r="W7" t="s">
        <v>144</v>
      </c>
      <c r="X7" t="s">
        <v>110</v>
      </c>
      <c r="Y7" t="s">
        <v>113</v>
      </c>
      <c r="Z7" t="s">
        <v>134</v>
      </c>
      <c r="AA7" t="s">
        <v>145</v>
      </c>
      <c r="AB7" t="s">
        <v>121</v>
      </c>
      <c r="AC7" s="15" t="s">
        <v>146</v>
      </c>
    </row>
    <row r="8" spans="1:29" ht="18" customHeight="1" x14ac:dyDescent="0.2">
      <c r="A8" t="str">
        <f t="shared" si="0"/>
        <v>HC/4</v>
      </c>
      <c r="B8" t="s">
        <v>147</v>
      </c>
      <c r="C8" t="s">
        <v>148</v>
      </c>
      <c r="D8" t="s">
        <v>108</v>
      </c>
      <c r="E8" s="16">
        <v>46073</v>
      </c>
      <c r="F8" t="s">
        <v>149</v>
      </c>
      <c r="G8" t="s">
        <v>52</v>
      </c>
      <c r="H8" t="s">
        <v>150</v>
      </c>
      <c r="I8" t="s">
        <v>151</v>
      </c>
      <c r="J8" t="s">
        <v>57</v>
      </c>
      <c r="K8" t="s">
        <v>152</v>
      </c>
      <c r="L8" t="s">
        <v>153</v>
      </c>
      <c r="M8" t="s">
        <v>154</v>
      </c>
      <c r="N8" t="s">
        <v>155</v>
      </c>
      <c r="O8" t="s">
        <v>116</v>
      </c>
      <c r="W8" t="s">
        <v>117</v>
      </c>
      <c r="X8" t="s">
        <v>118</v>
      </c>
      <c r="Y8" t="s">
        <v>133</v>
      </c>
      <c r="Z8" t="s">
        <v>156</v>
      </c>
      <c r="AA8" t="s">
        <v>145</v>
      </c>
      <c r="AB8" t="s">
        <v>121</v>
      </c>
      <c r="AC8" s="15" t="s">
        <v>157</v>
      </c>
    </row>
    <row r="9" spans="1:29" ht="18" customHeight="1" x14ac:dyDescent="0.2">
      <c r="A9" t="str">
        <f t="shared" si="0"/>
        <v>HC/5</v>
      </c>
      <c r="B9" t="s">
        <v>158</v>
      </c>
      <c r="C9" t="s">
        <v>159</v>
      </c>
      <c r="D9" t="s">
        <v>125</v>
      </c>
      <c r="E9" s="16">
        <v>46331</v>
      </c>
      <c r="F9" t="s">
        <v>109</v>
      </c>
      <c r="G9" t="s">
        <v>50</v>
      </c>
      <c r="H9" t="s">
        <v>160</v>
      </c>
      <c r="I9" t="s">
        <v>161</v>
      </c>
      <c r="J9" t="s">
        <v>162</v>
      </c>
      <c r="K9" t="s">
        <v>163</v>
      </c>
      <c r="L9" t="s">
        <v>164</v>
      </c>
      <c r="M9" t="s">
        <v>114</v>
      </c>
      <c r="N9" t="s">
        <v>115</v>
      </c>
      <c r="O9" t="s">
        <v>116</v>
      </c>
      <c r="P9" t="s">
        <v>116</v>
      </c>
      <c r="T9" t="s">
        <v>116</v>
      </c>
      <c r="W9" t="s">
        <v>132</v>
      </c>
      <c r="X9" t="s">
        <v>118</v>
      </c>
      <c r="Y9" t="s">
        <v>165</v>
      </c>
      <c r="Z9" t="s">
        <v>120</v>
      </c>
      <c r="AA9" t="s">
        <v>135</v>
      </c>
      <c r="AB9" t="s">
        <v>166</v>
      </c>
      <c r="AC9" s="15" t="s">
        <v>167</v>
      </c>
    </row>
    <row r="10" spans="1:29" ht="18" customHeight="1" x14ac:dyDescent="0.2">
      <c r="A10" t="str">
        <f t="shared" si="0"/>
        <v>HC/6</v>
      </c>
      <c r="B10" t="s">
        <v>168</v>
      </c>
      <c r="C10" t="s">
        <v>169</v>
      </c>
      <c r="D10" t="s">
        <v>139</v>
      </c>
      <c r="E10" s="16">
        <v>46359</v>
      </c>
      <c r="F10" t="s">
        <v>109</v>
      </c>
      <c r="G10" t="s">
        <v>51</v>
      </c>
      <c r="H10" t="s">
        <v>170</v>
      </c>
      <c r="I10" t="s">
        <v>111</v>
      </c>
      <c r="J10" t="s">
        <v>56</v>
      </c>
      <c r="K10" t="s">
        <v>171</v>
      </c>
      <c r="L10" t="s">
        <v>142</v>
      </c>
      <c r="M10" t="s">
        <v>130</v>
      </c>
      <c r="N10" t="s">
        <v>131</v>
      </c>
      <c r="O10" t="s">
        <v>116</v>
      </c>
      <c r="P10" t="s">
        <v>116</v>
      </c>
      <c r="W10" t="s">
        <v>172</v>
      </c>
      <c r="X10" t="s">
        <v>110</v>
      </c>
      <c r="Y10" t="s">
        <v>119</v>
      </c>
      <c r="Z10" t="s">
        <v>134</v>
      </c>
      <c r="AA10" t="s">
        <v>173</v>
      </c>
      <c r="AB10" t="s">
        <v>166</v>
      </c>
      <c r="AC10" s="15" t="s">
        <v>174</v>
      </c>
    </row>
    <row r="11" spans="1:29" ht="18" customHeight="1" x14ac:dyDescent="0.2">
      <c r="A11" t="str">
        <f t="shared" si="0"/>
        <v/>
      </c>
      <c r="AC11" s="15"/>
    </row>
    <row r="12" spans="1:29" ht="18" customHeight="1" x14ac:dyDescent="0.2">
      <c r="A12" t="str">
        <f t="shared" si="0"/>
        <v/>
      </c>
      <c r="AC12" s="15"/>
    </row>
    <row r="13" spans="1:29" ht="18" customHeight="1" x14ac:dyDescent="0.2">
      <c r="A13" t="str">
        <f t="shared" si="0"/>
        <v/>
      </c>
      <c r="AC13" s="15"/>
    </row>
    <row r="14" spans="1:29" ht="18" customHeight="1" x14ac:dyDescent="0.2">
      <c r="A14" t="str">
        <f t="shared" si="0"/>
        <v/>
      </c>
      <c r="AC14" s="15"/>
    </row>
    <row r="15" spans="1:29" ht="18" customHeight="1" x14ac:dyDescent="0.2">
      <c r="A15" t="str">
        <f t="shared" si="0"/>
        <v/>
      </c>
      <c r="AC15" s="15"/>
    </row>
    <row r="16" spans="1:29" ht="18" customHeight="1" x14ac:dyDescent="0.2">
      <c r="A16" t="str">
        <f t="shared" si="0"/>
        <v/>
      </c>
      <c r="AC16" s="15"/>
    </row>
    <row r="17" spans="1:29" ht="18" customHeight="1" x14ac:dyDescent="0.2">
      <c r="A17" t="str">
        <f t="shared" si="0"/>
        <v/>
      </c>
      <c r="AC17" s="15"/>
    </row>
    <row r="18" spans="1:29" ht="18" customHeight="1" x14ac:dyDescent="0.2">
      <c r="A18" t="str">
        <f t="shared" si="0"/>
        <v/>
      </c>
      <c r="AC18" s="15"/>
    </row>
    <row r="19" spans="1:29" ht="18" customHeight="1" x14ac:dyDescent="0.2">
      <c r="A19" t="str">
        <f t="shared" si="0"/>
        <v/>
      </c>
      <c r="AC19" s="15"/>
    </row>
    <row r="20" spans="1:29" ht="18" customHeight="1" x14ac:dyDescent="0.2">
      <c r="A20" t="str">
        <f t="shared" si="0"/>
        <v/>
      </c>
      <c r="AC20" s="15"/>
    </row>
    <row r="21" spans="1:29" ht="18" customHeight="1" x14ac:dyDescent="0.2">
      <c r="A21" t="str">
        <f t="shared" si="0"/>
        <v/>
      </c>
      <c r="AC21" s="15"/>
    </row>
    <row r="22" spans="1:29" ht="18" customHeight="1" x14ac:dyDescent="0.2">
      <c r="A22" t="str">
        <f t="shared" si="0"/>
        <v/>
      </c>
      <c r="AC22" s="15"/>
    </row>
    <row r="23" spans="1:29" ht="18" customHeight="1" x14ac:dyDescent="0.2">
      <c r="A23" t="str">
        <f t="shared" si="0"/>
        <v/>
      </c>
      <c r="AC23" s="15"/>
    </row>
    <row r="24" spans="1:29" ht="18" customHeight="1" x14ac:dyDescent="0.2">
      <c r="A24" t="str">
        <f t="shared" si="0"/>
        <v/>
      </c>
      <c r="AC24" s="15"/>
    </row>
    <row r="25" spans="1:29" ht="18" customHeight="1" x14ac:dyDescent="0.2">
      <c r="A25" t="str">
        <f t="shared" si="0"/>
        <v/>
      </c>
      <c r="AC25" s="15"/>
    </row>
    <row r="26" spans="1:29" ht="18" customHeight="1" x14ac:dyDescent="0.2">
      <c r="A26" t="str">
        <f t="shared" si="0"/>
        <v/>
      </c>
      <c r="AC26" s="15"/>
    </row>
    <row r="27" spans="1:29" ht="18" customHeight="1" x14ac:dyDescent="0.2">
      <c r="A27" t="str">
        <f t="shared" si="0"/>
        <v/>
      </c>
      <c r="AC27" s="15"/>
    </row>
    <row r="28" spans="1:29" ht="18" customHeight="1" x14ac:dyDescent="0.2">
      <c r="A28" t="str">
        <f t="shared" si="0"/>
        <v/>
      </c>
      <c r="AC28" s="15"/>
    </row>
    <row r="29" spans="1:29" ht="18" customHeight="1" x14ac:dyDescent="0.2">
      <c r="A29" t="str">
        <f t="shared" si="0"/>
        <v/>
      </c>
      <c r="AC29" s="15"/>
    </row>
    <row r="30" spans="1:29" ht="18" customHeight="1" x14ac:dyDescent="0.2">
      <c r="A30" t="str">
        <f t="shared" si="0"/>
        <v/>
      </c>
      <c r="AC30" s="15"/>
    </row>
    <row r="31" spans="1:29" ht="18" customHeight="1" x14ac:dyDescent="0.2">
      <c r="A31" t="str">
        <f t="shared" si="0"/>
        <v/>
      </c>
      <c r="AC31" s="15"/>
    </row>
    <row r="32" spans="1:29" ht="18" customHeight="1" x14ac:dyDescent="0.2">
      <c r="A32" t="str">
        <f t="shared" si="0"/>
        <v/>
      </c>
      <c r="AC32" s="15"/>
    </row>
    <row r="33" spans="1:29" ht="18" customHeight="1" x14ac:dyDescent="0.2">
      <c r="A33" t="str">
        <f t="shared" si="0"/>
        <v/>
      </c>
      <c r="AC33" s="15"/>
    </row>
    <row r="34" spans="1:29" ht="18" customHeight="1" x14ac:dyDescent="0.2">
      <c r="A34" t="str">
        <f t="shared" si="0"/>
        <v/>
      </c>
      <c r="AC34" s="15"/>
    </row>
    <row r="35" spans="1:29" ht="18" customHeight="1" x14ac:dyDescent="0.2">
      <c r="A35" t="str">
        <f t="shared" si="0"/>
        <v/>
      </c>
      <c r="AC35" s="15"/>
    </row>
    <row r="36" spans="1:29" ht="18" customHeight="1" x14ac:dyDescent="0.2">
      <c r="A36" t="str">
        <f t="shared" si="0"/>
        <v/>
      </c>
      <c r="AC36" s="15"/>
    </row>
    <row r="37" spans="1:29" ht="18" customHeight="1" x14ac:dyDescent="0.2">
      <c r="A37" t="str">
        <f t="shared" si="0"/>
        <v/>
      </c>
      <c r="AC37" s="15"/>
    </row>
    <row r="38" spans="1:29" ht="18" customHeight="1" x14ac:dyDescent="0.2">
      <c r="A38" t="str">
        <f t="shared" si="0"/>
        <v/>
      </c>
      <c r="AC38" s="15"/>
    </row>
    <row r="39" spans="1:29" ht="18" customHeight="1" x14ac:dyDescent="0.2">
      <c r="A39" t="str">
        <f t="shared" si="0"/>
        <v/>
      </c>
      <c r="AC39" s="15"/>
    </row>
    <row r="40" spans="1:29" ht="18" customHeight="1" x14ac:dyDescent="0.2">
      <c r="A40" t="str">
        <f t="shared" si="0"/>
        <v/>
      </c>
      <c r="AC40" s="15"/>
    </row>
    <row r="41" spans="1:29" ht="18" customHeight="1" x14ac:dyDescent="0.2">
      <c r="A41" t="str">
        <f t="shared" si="0"/>
        <v/>
      </c>
      <c r="AC41" s="15"/>
    </row>
    <row r="42" spans="1:29" ht="18" customHeight="1" x14ac:dyDescent="0.2">
      <c r="A42" t="str">
        <f t="shared" si="0"/>
        <v/>
      </c>
      <c r="AC42" s="15"/>
    </row>
    <row r="43" spans="1:29" ht="18" customHeight="1" x14ac:dyDescent="0.2">
      <c r="A43" t="str">
        <f t="shared" si="0"/>
        <v/>
      </c>
      <c r="AC43" s="15"/>
    </row>
    <row r="44" spans="1:29" ht="18" customHeight="1" x14ac:dyDescent="0.2">
      <c r="A44" t="str">
        <f t="shared" si="0"/>
        <v/>
      </c>
      <c r="AC44" s="15"/>
    </row>
    <row r="45" spans="1:29" ht="18" customHeight="1" x14ac:dyDescent="0.2">
      <c r="A45" t="str">
        <f t="shared" si="0"/>
        <v/>
      </c>
      <c r="AC45" s="15"/>
    </row>
    <row r="46" spans="1:29" ht="18" customHeight="1" x14ac:dyDescent="0.2">
      <c r="A46" t="str">
        <f t="shared" si="0"/>
        <v/>
      </c>
      <c r="AC46" s="15"/>
    </row>
    <row r="47" spans="1:29" ht="18" customHeight="1" x14ac:dyDescent="0.2">
      <c r="A47" t="str">
        <f t="shared" si="0"/>
        <v/>
      </c>
      <c r="AC47" s="15"/>
    </row>
    <row r="48" spans="1:29" ht="18" customHeight="1" x14ac:dyDescent="0.2">
      <c r="A48" t="str">
        <f t="shared" si="0"/>
        <v/>
      </c>
      <c r="AC48" s="15"/>
    </row>
    <row r="49" spans="1:29" ht="18" customHeight="1" x14ac:dyDescent="0.2">
      <c r="A49" t="str">
        <f t="shared" si="0"/>
        <v/>
      </c>
      <c r="AC49" s="15"/>
    </row>
    <row r="50" spans="1:29" ht="18" customHeight="1" x14ac:dyDescent="0.2">
      <c r="A50" t="str">
        <f t="shared" si="0"/>
        <v/>
      </c>
      <c r="AC50" s="15"/>
    </row>
    <row r="51" spans="1:29" ht="18" customHeight="1" x14ac:dyDescent="0.2">
      <c r="A51" t="str">
        <f t="shared" si="0"/>
        <v/>
      </c>
      <c r="AC51" s="15"/>
    </row>
    <row r="52" spans="1:29" ht="18" customHeight="1" x14ac:dyDescent="0.2">
      <c r="A52" t="str">
        <f t="shared" si="0"/>
        <v/>
      </c>
      <c r="AC52" s="15"/>
    </row>
    <row r="53" spans="1:29" ht="18" customHeight="1" x14ac:dyDescent="0.2">
      <c r="A53" t="str">
        <f t="shared" si="0"/>
        <v/>
      </c>
      <c r="AC53" s="15"/>
    </row>
    <row r="54" spans="1:29" ht="18" customHeight="1" x14ac:dyDescent="0.2">
      <c r="A54" t="str">
        <f t="shared" si="0"/>
        <v/>
      </c>
      <c r="AC54" s="15"/>
    </row>
    <row r="55" spans="1:29" ht="18" customHeight="1" x14ac:dyDescent="0.2">
      <c r="A55" t="str">
        <f t="shared" si="0"/>
        <v/>
      </c>
      <c r="AC55" s="15"/>
    </row>
    <row r="56" spans="1:29" ht="18" customHeight="1" x14ac:dyDescent="0.2">
      <c r="A56" t="str">
        <f t="shared" si="0"/>
        <v/>
      </c>
      <c r="AC56" s="15"/>
    </row>
    <row r="57" spans="1:29" ht="18" customHeight="1" x14ac:dyDescent="0.2">
      <c r="A57" t="str">
        <f t="shared" si="0"/>
        <v/>
      </c>
      <c r="AC57" s="15"/>
    </row>
    <row r="58" spans="1:29" ht="18" customHeight="1" x14ac:dyDescent="0.2">
      <c r="A58" t="str">
        <f t="shared" si="0"/>
        <v/>
      </c>
      <c r="AC58" s="15"/>
    </row>
    <row r="59" spans="1:29" ht="18" customHeight="1" x14ac:dyDescent="0.2">
      <c r="A59" t="str">
        <f t="shared" si="0"/>
        <v/>
      </c>
      <c r="AC59" s="15"/>
    </row>
    <row r="60" spans="1:29" ht="18" customHeight="1" x14ac:dyDescent="0.2">
      <c r="A60" t="str">
        <f t="shared" si="0"/>
        <v/>
      </c>
      <c r="AC60" s="15"/>
    </row>
    <row r="61" spans="1:29" ht="18" customHeight="1" x14ac:dyDescent="0.2">
      <c r="A61" t="str">
        <f t="shared" si="0"/>
        <v/>
      </c>
      <c r="AC61" s="15"/>
    </row>
    <row r="62" spans="1:29" ht="18" customHeight="1" x14ac:dyDescent="0.2">
      <c r="A62" t="str">
        <f t="shared" si="0"/>
        <v/>
      </c>
      <c r="AC62" s="15"/>
    </row>
    <row r="63" spans="1:29" ht="18" customHeight="1" x14ac:dyDescent="0.2">
      <c r="A63" t="str">
        <f t="shared" si="0"/>
        <v/>
      </c>
      <c r="AC63" s="15"/>
    </row>
    <row r="64" spans="1:29" ht="18" customHeight="1" x14ac:dyDescent="0.2">
      <c r="A64" t="str">
        <f t="shared" si="0"/>
        <v/>
      </c>
      <c r="AC64" s="15"/>
    </row>
    <row r="65" spans="1:29" ht="18" customHeight="1" x14ac:dyDescent="0.2">
      <c r="A65" t="str">
        <f t="shared" si="0"/>
        <v/>
      </c>
      <c r="AC65" s="15"/>
    </row>
    <row r="66" spans="1:29" ht="18" customHeight="1" x14ac:dyDescent="0.2">
      <c r="A66" t="str">
        <f t="shared" si="0"/>
        <v/>
      </c>
      <c r="AC66" s="15"/>
    </row>
    <row r="67" spans="1:29" ht="18" customHeight="1" x14ac:dyDescent="0.2">
      <c r="A67" t="str">
        <f t="shared" si="0"/>
        <v/>
      </c>
      <c r="AC67" s="15"/>
    </row>
    <row r="68" spans="1:29" ht="18" customHeight="1" x14ac:dyDescent="0.2">
      <c r="A68" t="str">
        <f t="shared" si="0"/>
        <v/>
      </c>
      <c r="AC68" s="15"/>
    </row>
    <row r="69" spans="1:29" ht="18" customHeight="1" x14ac:dyDescent="0.2">
      <c r="A69" t="str">
        <f t="shared" ref="A69:A132" si="1">IF(C69&lt;&gt;"","HC/"&amp;(ROW()-4),"")</f>
        <v/>
      </c>
      <c r="AC69" s="15"/>
    </row>
    <row r="70" spans="1:29" ht="18" customHeight="1" x14ac:dyDescent="0.2">
      <c r="A70" t="str">
        <f t="shared" si="1"/>
        <v/>
      </c>
      <c r="AC70" s="15"/>
    </row>
    <row r="71" spans="1:29" ht="18" customHeight="1" x14ac:dyDescent="0.2">
      <c r="A71" t="str">
        <f t="shared" si="1"/>
        <v/>
      </c>
      <c r="AC71" s="15"/>
    </row>
    <row r="72" spans="1:29" ht="18" customHeight="1" x14ac:dyDescent="0.2">
      <c r="A72" t="str">
        <f t="shared" si="1"/>
        <v/>
      </c>
      <c r="AC72" s="15"/>
    </row>
    <row r="73" spans="1:29" ht="18" customHeight="1" x14ac:dyDescent="0.2">
      <c r="A73" t="str">
        <f t="shared" si="1"/>
        <v/>
      </c>
      <c r="AC73" s="15"/>
    </row>
    <row r="74" spans="1:29" ht="18" customHeight="1" x14ac:dyDescent="0.2">
      <c r="A74" t="str">
        <f t="shared" si="1"/>
        <v/>
      </c>
      <c r="AC74" s="15"/>
    </row>
    <row r="75" spans="1:29" ht="18" customHeight="1" x14ac:dyDescent="0.2">
      <c r="A75" t="str">
        <f t="shared" si="1"/>
        <v/>
      </c>
      <c r="AC75" s="15"/>
    </row>
    <row r="76" spans="1:29" ht="18" customHeight="1" x14ac:dyDescent="0.2">
      <c r="A76" t="str">
        <f t="shared" si="1"/>
        <v/>
      </c>
      <c r="AC76" s="15"/>
    </row>
    <row r="77" spans="1:29" ht="18" customHeight="1" x14ac:dyDescent="0.2">
      <c r="A77" t="str">
        <f t="shared" si="1"/>
        <v/>
      </c>
      <c r="AC77" s="15"/>
    </row>
    <row r="78" spans="1:29" ht="18" customHeight="1" x14ac:dyDescent="0.2">
      <c r="A78" t="str">
        <f t="shared" si="1"/>
        <v/>
      </c>
      <c r="AC78" s="15"/>
    </row>
    <row r="79" spans="1:29" ht="18" customHeight="1" x14ac:dyDescent="0.2">
      <c r="A79" t="str">
        <f t="shared" si="1"/>
        <v/>
      </c>
      <c r="AC79" s="15"/>
    </row>
    <row r="80" spans="1:29" ht="18" customHeight="1" x14ac:dyDescent="0.2">
      <c r="A80" t="str">
        <f t="shared" si="1"/>
        <v/>
      </c>
      <c r="AC80" s="15"/>
    </row>
    <row r="81" spans="1:29" ht="18" customHeight="1" x14ac:dyDescent="0.2">
      <c r="A81" t="str">
        <f t="shared" si="1"/>
        <v/>
      </c>
      <c r="AC81" s="15"/>
    </row>
    <row r="82" spans="1:29" ht="18" customHeight="1" x14ac:dyDescent="0.2">
      <c r="A82" t="str">
        <f t="shared" si="1"/>
        <v/>
      </c>
      <c r="AC82" s="15"/>
    </row>
    <row r="83" spans="1:29" ht="18" customHeight="1" x14ac:dyDescent="0.2">
      <c r="A83" t="str">
        <f t="shared" si="1"/>
        <v/>
      </c>
      <c r="AC83" s="15"/>
    </row>
    <row r="84" spans="1:29" ht="18" customHeight="1" x14ac:dyDescent="0.2">
      <c r="A84" t="str">
        <f t="shared" si="1"/>
        <v/>
      </c>
      <c r="AC84" s="15"/>
    </row>
    <row r="85" spans="1:29" ht="18" customHeight="1" x14ac:dyDescent="0.2">
      <c r="A85" t="str">
        <f t="shared" si="1"/>
        <v/>
      </c>
      <c r="AC85" s="15"/>
    </row>
    <row r="86" spans="1:29" ht="18" customHeight="1" x14ac:dyDescent="0.2">
      <c r="A86" t="str">
        <f t="shared" si="1"/>
        <v/>
      </c>
      <c r="AC86" s="15"/>
    </row>
    <row r="87" spans="1:29" ht="18" customHeight="1" x14ac:dyDescent="0.2">
      <c r="A87" t="str">
        <f t="shared" si="1"/>
        <v/>
      </c>
      <c r="AC87" s="15"/>
    </row>
    <row r="88" spans="1:29" ht="18" customHeight="1" x14ac:dyDescent="0.2">
      <c r="A88" t="str">
        <f t="shared" si="1"/>
        <v/>
      </c>
      <c r="AC88" s="15"/>
    </row>
    <row r="89" spans="1:29" ht="18" customHeight="1" x14ac:dyDescent="0.2">
      <c r="A89" t="str">
        <f t="shared" si="1"/>
        <v/>
      </c>
      <c r="AC89" s="15"/>
    </row>
    <row r="90" spans="1:29" ht="18" customHeight="1" x14ac:dyDescent="0.2">
      <c r="A90" t="str">
        <f t="shared" si="1"/>
        <v/>
      </c>
      <c r="AC90" s="15"/>
    </row>
    <row r="91" spans="1:29" ht="18" customHeight="1" x14ac:dyDescent="0.2">
      <c r="A91" t="str">
        <f t="shared" si="1"/>
        <v/>
      </c>
      <c r="AC91" s="15"/>
    </row>
    <row r="92" spans="1:29" ht="18" customHeight="1" x14ac:dyDescent="0.2">
      <c r="A92" t="str">
        <f t="shared" si="1"/>
        <v/>
      </c>
      <c r="AC92" s="15"/>
    </row>
    <row r="93" spans="1:29" ht="18" customHeight="1" x14ac:dyDescent="0.2">
      <c r="A93" t="str">
        <f t="shared" si="1"/>
        <v/>
      </c>
      <c r="AC93" s="15"/>
    </row>
    <row r="94" spans="1:29" ht="18" customHeight="1" x14ac:dyDescent="0.2">
      <c r="A94" t="str">
        <f t="shared" si="1"/>
        <v/>
      </c>
      <c r="AC94" s="15"/>
    </row>
    <row r="95" spans="1:29" ht="18" customHeight="1" x14ac:dyDescent="0.2">
      <c r="A95" t="str">
        <f t="shared" si="1"/>
        <v/>
      </c>
      <c r="AC95" s="15"/>
    </row>
    <row r="96" spans="1:29" ht="18" customHeight="1" x14ac:dyDescent="0.2">
      <c r="A96" t="str">
        <f t="shared" si="1"/>
        <v/>
      </c>
      <c r="AC96" s="15"/>
    </row>
    <row r="97" spans="1:29" ht="18" customHeight="1" x14ac:dyDescent="0.2">
      <c r="A97" t="str">
        <f t="shared" si="1"/>
        <v/>
      </c>
      <c r="AC97" s="15"/>
    </row>
    <row r="98" spans="1:29" ht="18" customHeight="1" x14ac:dyDescent="0.2">
      <c r="A98" t="str">
        <f t="shared" si="1"/>
        <v/>
      </c>
      <c r="AC98" s="15"/>
    </row>
    <row r="99" spans="1:29" ht="18" customHeight="1" x14ac:dyDescent="0.2">
      <c r="A99" t="str">
        <f t="shared" si="1"/>
        <v/>
      </c>
      <c r="AC99" s="15"/>
    </row>
    <row r="100" spans="1:29" ht="18" customHeight="1" x14ac:dyDescent="0.2">
      <c r="A100" t="str">
        <f t="shared" si="1"/>
        <v/>
      </c>
      <c r="AC100" s="15"/>
    </row>
    <row r="101" spans="1:29" ht="18" customHeight="1" x14ac:dyDescent="0.2">
      <c r="A101" t="str">
        <f t="shared" si="1"/>
        <v/>
      </c>
      <c r="AC101" s="15"/>
    </row>
    <row r="102" spans="1:29" ht="18" customHeight="1" x14ac:dyDescent="0.2">
      <c r="A102" t="str">
        <f t="shared" si="1"/>
        <v/>
      </c>
      <c r="AC102" s="15"/>
    </row>
    <row r="103" spans="1:29" ht="18" customHeight="1" x14ac:dyDescent="0.2">
      <c r="A103" t="str">
        <f t="shared" si="1"/>
        <v/>
      </c>
      <c r="AC103" s="15"/>
    </row>
    <row r="104" spans="1:29" ht="18" customHeight="1" x14ac:dyDescent="0.2">
      <c r="A104" t="str">
        <f t="shared" si="1"/>
        <v/>
      </c>
      <c r="AC104" s="15"/>
    </row>
    <row r="105" spans="1:29" ht="18" customHeight="1" x14ac:dyDescent="0.2">
      <c r="A105" t="str">
        <f t="shared" si="1"/>
        <v/>
      </c>
      <c r="AC105" s="15"/>
    </row>
    <row r="106" spans="1:29" ht="18" customHeight="1" x14ac:dyDescent="0.2">
      <c r="A106" t="str">
        <f t="shared" si="1"/>
        <v/>
      </c>
      <c r="AC106" s="15"/>
    </row>
    <row r="107" spans="1:29" ht="18" customHeight="1" x14ac:dyDescent="0.2">
      <c r="A107" t="str">
        <f t="shared" si="1"/>
        <v/>
      </c>
      <c r="AC107" s="15"/>
    </row>
    <row r="108" spans="1:29" ht="18" customHeight="1" x14ac:dyDescent="0.2">
      <c r="A108" t="str">
        <f t="shared" si="1"/>
        <v/>
      </c>
      <c r="AC108" s="15"/>
    </row>
    <row r="109" spans="1:29" ht="18" customHeight="1" x14ac:dyDescent="0.2">
      <c r="A109" t="str">
        <f t="shared" si="1"/>
        <v/>
      </c>
      <c r="AC109" s="15"/>
    </row>
    <row r="110" spans="1:29" ht="18" customHeight="1" x14ac:dyDescent="0.2">
      <c r="A110" t="str">
        <f t="shared" si="1"/>
        <v/>
      </c>
      <c r="AC110" s="15"/>
    </row>
    <row r="111" spans="1:29" ht="18" customHeight="1" x14ac:dyDescent="0.2">
      <c r="A111" t="str">
        <f t="shared" si="1"/>
        <v/>
      </c>
      <c r="AC111" s="15"/>
    </row>
    <row r="112" spans="1:29" ht="18" customHeight="1" x14ac:dyDescent="0.2">
      <c r="A112" t="str">
        <f t="shared" si="1"/>
        <v/>
      </c>
      <c r="AC112" s="15"/>
    </row>
    <row r="113" spans="1:29" ht="18" customHeight="1" x14ac:dyDescent="0.2">
      <c r="A113" t="str">
        <f t="shared" si="1"/>
        <v/>
      </c>
      <c r="AC113" s="15"/>
    </row>
    <row r="114" spans="1:29" ht="18" customHeight="1" x14ac:dyDescent="0.2">
      <c r="A114" t="str">
        <f t="shared" si="1"/>
        <v/>
      </c>
      <c r="AC114" s="15"/>
    </row>
    <row r="115" spans="1:29" ht="18" customHeight="1" x14ac:dyDescent="0.2">
      <c r="A115" t="str">
        <f t="shared" si="1"/>
        <v/>
      </c>
      <c r="AC115" s="15"/>
    </row>
    <row r="116" spans="1:29" ht="18" customHeight="1" x14ac:dyDescent="0.2">
      <c r="A116" t="str">
        <f t="shared" si="1"/>
        <v/>
      </c>
      <c r="AC116" s="15"/>
    </row>
    <row r="117" spans="1:29" ht="18" customHeight="1" x14ac:dyDescent="0.2">
      <c r="A117" t="str">
        <f t="shared" si="1"/>
        <v/>
      </c>
      <c r="AC117" s="15"/>
    </row>
    <row r="118" spans="1:29" ht="18" customHeight="1" x14ac:dyDescent="0.2">
      <c r="A118" t="str">
        <f t="shared" si="1"/>
        <v/>
      </c>
      <c r="AC118" s="15"/>
    </row>
    <row r="119" spans="1:29" ht="18" customHeight="1" x14ac:dyDescent="0.2">
      <c r="A119" t="str">
        <f t="shared" si="1"/>
        <v/>
      </c>
      <c r="AC119" s="15"/>
    </row>
    <row r="120" spans="1:29" ht="18" customHeight="1" x14ac:dyDescent="0.2">
      <c r="A120" t="str">
        <f t="shared" si="1"/>
        <v/>
      </c>
      <c r="AC120" s="15"/>
    </row>
    <row r="121" spans="1:29" ht="18" customHeight="1" x14ac:dyDescent="0.2">
      <c r="A121" t="str">
        <f t="shared" si="1"/>
        <v/>
      </c>
      <c r="AC121" s="15"/>
    </row>
    <row r="122" spans="1:29" ht="18" customHeight="1" x14ac:dyDescent="0.2">
      <c r="A122" t="str">
        <f t="shared" si="1"/>
        <v/>
      </c>
      <c r="AC122" s="15"/>
    </row>
    <row r="123" spans="1:29" ht="18" customHeight="1" x14ac:dyDescent="0.2">
      <c r="A123" t="str">
        <f t="shared" si="1"/>
        <v/>
      </c>
      <c r="AC123" s="15"/>
    </row>
    <row r="124" spans="1:29" ht="18" customHeight="1" x14ac:dyDescent="0.2">
      <c r="A124" t="str">
        <f t="shared" si="1"/>
        <v/>
      </c>
      <c r="AC124" s="15"/>
    </row>
    <row r="125" spans="1:29" ht="18" customHeight="1" x14ac:dyDescent="0.2">
      <c r="A125" t="str">
        <f t="shared" si="1"/>
        <v/>
      </c>
      <c r="AC125" s="15"/>
    </row>
    <row r="126" spans="1:29" ht="18" customHeight="1" x14ac:dyDescent="0.2">
      <c r="A126" t="str">
        <f t="shared" si="1"/>
        <v/>
      </c>
      <c r="AC126" s="15"/>
    </row>
    <row r="127" spans="1:29" ht="18" customHeight="1" x14ac:dyDescent="0.2">
      <c r="A127" t="str">
        <f t="shared" si="1"/>
        <v/>
      </c>
      <c r="AC127" s="15"/>
    </row>
    <row r="128" spans="1:29" ht="18" customHeight="1" x14ac:dyDescent="0.2">
      <c r="A128" t="str">
        <f t="shared" si="1"/>
        <v/>
      </c>
      <c r="AC128" s="15"/>
    </row>
    <row r="129" spans="1:29" ht="18" customHeight="1" x14ac:dyDescent="0.2">
      <c r="A129" t="str">
        <f t="shared" si="1"/>
        <v/>
      </c>
      <c r="AC129" s="15"/>
    </row>
    <row r="130" spans="1:29" ht="18" customHeight="1" x14ac:dyDescent="0.2">
      <c r="A130" t="str">
        <f t="shared" si="1"/>
        <v/>
      </c>
      <c r="AC130" s="15"/>
    </row>
    <row r="131" spans="1:29" ht="18" customHeight="1" x14ac:dyDescent="0.2">
      <c r="A131" t="str">
        <f t="shared" si="1"/>
        <v/>
      </c>
      <c r="AC131" s="15"/>
    </row>
    <row r="132" spans="1:29" ht="18" customHeight="1" x14ac:dyDescent="0.2">
      <c r="A132" t="str">
        <f t="shared" si="1"/>
        <v/>
      </c>
      <c r="AC132" s="15"/>
    </row>
    <row r="133" spans="1:29" ht="18" customHeight="1" x14ac:dyDescent="0.2">
      <c r="A133" t="str">
        <f t="shared" ref="A133:A196" si="2">IF(C133&lt;&gt;"","HC/"&amp;(ROW()-4),"")</f>
        <v/>
      </c>
      <c r="AC133" s="15"/>
    </row>
    <row r="134" spans="1:29" ht="18" customHeight="1" x14ac:dyDescent="0.2">
      <c r="A134" t="str">
        <f t="shared" si="2"/>
        <v/>
      </c>
      <c r="AC134" s="15"/>
    </row>
    <row r="135" spans="1:29" ht="18" customHeight="1" x14ac:dyDescent="0.2">
      <c r="A135" t="str">
        <f t="shared" si="2"/>
        <v/>
      </c>
      <c r="AC135" s="15"/>
    </row>
    <row r="136" spans="1:29" ht="18" customHeight="1" x14ac:dyDescent="0.2">
      <c r="A136" t="str">
        <f t="shared" si="2"/>
        <v/>
      </c>
      <c r="AC136" s="15"/>
    </row>
    <row r="137" spans="1:29" ht="18" customHeight="1" x14ac:dyDescent="0.2">
      <c r="A137" t="str">
        <f t="shared" si="2"/>
        <v/>
      </c>
      <c r="AC137" s="15"/>
    </row>
    <row r="138" spans="1:29" ht="18" customHeight="1" x14ac:dyDescent="0.2">
      <c r="A138" t="str">
        <f t="shared" si="2"/>
        <v/>
      </c>
      <c r="AC138" s="15"/>
    </row>
    <row r="139" spans="1:29" ht="18" customHeight="1" x14ac:dyDescent="0.2">
      <c r="A139" t="str">
        <f t="shared" si="2"/>
        <v/>
      </c>
      <c r="AC139" s="15"/>
    </row>
    <row r="140" spans="1:29" ht="18" customHeight="1" x14ac:dyDescent="0.2">
      <c r="A140" t="str">
        <f t="shared" si="2"/>
        <v/>
      </c>
      <c r="AC140" s="15"/>
    </row>
    <row r="141" spans="1:29" ht="18" customHeight="1" x14ac:dyDescent="0.2">
      <c r="A141" t="str">
        <f t="shared" si="2"/>
        <v/>
      </c>
      <c r="AC141" s="15"/>
    </row>
    <row r="142" spans="1:29" ht="18" customHeight="1" x14ac:dyDescent="0.2">
      <c r="A142" t="str">
        <f t="shared" si="2"/>
        <v/>
      </c>
      <c r="AC142" s="15"/>
    </row>
    <row r="143" spans="1:29" ht="18" customHeight="1" x14ac:dyDescent="0.2">
      <c r="A143" t="str">
        <f t="shared" si="2"/>
        <v/>
      </c>
      <c r="AC143" s="15"/>
    </row>
    <row r="144" spans="1:29" ht="18" customHeight="1" x14ac:dyDescent="0.2">
      <c r="A144" t="str">
        <f t="shared" si="2"/>
        <v/>
      </c>
      <c r="AC144" s="15"/>
    </row>
    <row r="145" spans="1:29" ht="18" customHeight="1" x14ac:dyDescent="0.2">
      <c r="A145" t="str">
        <f t="shared" si="2"/>
        <v/>
      </c>
      <c r="AC145" s="15"/>
    </row>
    <row r="146" spans="1:29" ht="18" customHeight="1" x14ac:dyDescent="0.2">
      <c r="A146" t="str">
        <f t="shared" si="2"/>
        <v/>
      </c>
      <c r="AC146" s="15"/>
    </row>
    <row r="147" spans="1:29" ht="18" customHeight="1" x14ac:dyDescent="0.2">
      <c r="A147" t="str">
        <f t="shared" si="2"/>
        <v/>
      </c>
      <c r="AC147" s="15"/>
    </row>
    <row r="148" spans="1:29" ht="18" customHeight="1" x14ac:dyDescent="0.2">
      <c r="A148" t="str">
        <f t="shared" si="2"/>
        <v/>
      </c>
      <c r="AC148" s="15"/>
    </row>
    <row r="149" spans="1:29" ht="18" customHeight="1" x14ac:dyDescent="0.2">
      <c r="A149" t="str">
        <f t="shared" si="2"/>
        <v/>
      </c>
      <c r="AC149" s="15"/>
    </row>
    <row r="150" spans="1:29" ht="18" customHeight="1" x14ac:dyDescent="0.2">
      <c r="A150" t="str">
        <f t="shared" si="2"/>
        <v/>
      </c>
      <c r="AC150" s="15"/>
    </row>
    <row r="151" spans="1:29" ht="18" customHeight="1" x14ac:dyDescent="0.2">
      <c r="A151" t="str">
        <f t="shared" si="2"/>
        <v/>
      </c>
      <c r="AC151" s="15"/>
    </row>
    <row r="152" spans="1:29" ht="18" customHeight="1" x14ac:dyDescent="0.2">
      <c r="A152" t="str">
        <f t="shared" si="2"/>
        <v/>
      </c>
      <c r="AC152" s="15"/>
    </row>
    <row r="153" spans="1:29" ht="18" customHeight="1" x14ac:dyDescent="0.2">
      <c r="A153" t="str">
        <f t="shared" si="2"/>
        <v/>
      </c>
      <c r="AC153" s="15"/>
    </row>
    <row r="154" spans="1:29" ht="18" customHeight="1" x14ac:dyDescent="0.2">
      <c r="A154" t="str">
        <f t="shared" si="2"/>
        <v/>
      </c>
      <c r="AC154" s="15"/>
    </row>
    <row r="155" spans="1:29" ht="18" customHeight="1" x14ac:dyDescent="0.2">
      <c r="A155" t="str">
        <f t="shared" si="2"/>
        <v/>
      </c>
      <c r="AC155" s="15"/>
    </row>
    <row r="156" spans="1:29" ht="18" customHeight="1" x14ac:dyDescent="0.2">
      <c r="A156" t="str">
        <f t="shared" si="2"/>
        <v/>
      </c>
      <c r="AC156" s="15"/>
    </row>
    <row r="157" spans="1:29" ht="18" customHeight="1" x14ac:dyDescent="0.2">
      <c r="A157" t="str">
        <f t="shared" si="2"/>
        <v/>
      </c>
      <c r="AC157" s="15"/>
    </row>
    <row r="158" spans="1:29" ht="18" customHeight="1" x14ac:dyDescent="0.2">
      <c r="A158" t="str">
        <f t="shared" si="2"/>
        <v/>
      </c>
      <c r="AC158" s="15"/>
    </row>
    <row r="159" spans="1:29" ht="18" customHeight="1" x14ac:dyDescent="0.2">
      <c r="A159" t="str">
        <f t="shared" si="2"/>
        <v/>
      </c>
      <c r="AC159" s="15"/>
    </row>
    <row r="160" spans="1:29" ht="18" customHeight="1" x14ac:dyDescent="0.2">
      <c r="A160" t="str">
        <f t="shared" si="2"/>
        <v/>
      </c>
      <c r="AC160" s="15"/>
    </row>
    <row r="161" spans="1:29" ht="18" customHeight="1" x14ac:dyDescent="0.2">
      <c r="A161" t="str">
        <f t="shared" si="2"/>
        <v/>
      </c>
      <c r="AC161" s="15"/>
    </row>
    <row r="162" spans="1:29" ht="18" customHeight="1" x14ac:dyDescent="0.2">
      <c r="A162" t="str">
        <f t="shared" si="2"/>
        <v/>
      </c>
      <c r="AC162" s="15"/>
    </row>
    <row r="163" spans="1:29" ht="18" customHeight="1" x14ac:dyDescent="0.2">
      <c r="A163" t="str">
        <f t="shared" si="2"/>
        <v/>
      </c>
      <c r="AC163" s="15"/>
    </row>
    <row r="164" spans="1:29" ht="18" customHeight="1" x14ac:dyDescent="0.2">
      <c r="A164" t="str">
        <f t="shared" si="2"/>
        <v/>
      </c>
      <c r="AC164" s="15"/>
    </row>
    <row r="165" spans="1:29" ht="18" customHeight="1" x14ac:dyDescent="0.2">
      <c r="A165" t="str">
        <f t="shared" si="2"/>
        <v/>
      </c>
      <c r="AC165" s="15"/>
    </row>
    <row r="166" spans="1:29" ht="18" customHeight="1" x14ac:dyDescent="0.2">
      <c r="A166" t="str">
        <f t="shared" si="2"/>
        <v/>
      </c>
      <c r="AC166" s="15"/>
    </row>
    <row r="167" spans="1:29" ht="18" customHeight="1" x14ac:dyDescent="0.2">
      <c r="A167" t="str">
        <f t="shared" si="2"/>
        <v/>
      </c>
      <c r="AC167" s="15"/>
    </row>
    <row r="168" spans="1:29" ht="18" customHeight="1" x14ac:dyDescent="0.2">
      <c r="A168" t="str">
        <f t="shared" si="2"/>
        <v/>
      </c>
      <c r="AC168" s="15"/>
    </row>
    <row r="169" spans="1:29" ht="18" customHeight="1" x14ac:dyDescent="0.2">
      <c r="A169" t="str">
        <f t="shared" si="2"/>
        <v/>
      </c>
      <c r="AC169" s="15"/>
    </row>
    <row r="170" spans="1:29" ht="18" customHeight="1" x14ac:dyDescent="0.2">
      <c r="A170" t="str">
        <f t="shared" si="2"/>
        <v/>
      </c>
      <c r="AC170" s="15"/>
    </row>
    <row r="171" spans="1:29" ht="18" customHeight="1" x14ac:dyDescent="0.2">
      <c r="A171" t="str">
        <f t="shared" si="2"/>
        <v/>
      </c>
      <c r="AC171" s="15"/>
    </row>
    <row r="172" spans="1:29" ht="18" customHeight="1" x14ac:dyDescent="0.2">
      <c r="A172" t="str">
        <f t="shared" si="2"/>
        <v/>
      </c>
      <c r="AC172" s="15"/>
    </row>
    <row r="173" spans="1:29" ht="18" customHeight="1" x14ac:dyDescent="0.2">
      <c r="A173" t="str">
        <f t="shared" si="2"/>
        <v/>
      </c>
      <c r="AC173" s="15"/>
    </row>
    <row r="174" spans="1:29" ht="18" customHeight="1" x14ac:dyDescent="0.2">
      <c r="A174" t="str">
        <f t="shared" si="2"/>
        <v/>
      </c>
      <c r="AC174" s="15"/>
    </row>
    <row r="175" spans="1:29" ht="18" customHeight="1" x14ac:dyDescent="0.2">
      <c r="A175" t="str">
        <f t="shared" si="2"/>
        <v/>
      </c>
      <c r="AC175" s="15"/>
    </row>
    <row r="176" spans="1:29" ht="18" customHeight="1" x14ac:dyDescent="0.2">
      <c r="A176" t="str">
        <f t="shared" si="2"/>
        <v/>
      </c>
      <c r="AC176" s="15"/>
    </row>
    <row r="177" spans="1:29" ht="18" customHeight="1" x14ac:dyDescent="0.2">
      <c r="A177" t="str">
        <f t="shared" si="2"/>
        <v/>
      </c>
      <c r="AC177" s="15"/>
    </row>
    <row r="178" spans="1:29" ht="18" customHeight="1" x14ac:dyDescent="0.2">
      <c r="A178" t="str">
        <f t="shared" si="2"/>
        <v/>
      </c>
      <c r="AC178" s="15"/>
    </row>
    <row r="179" spans="1:29" ht="18" customHeight="1" x14ac:dyDescent="0.2">
      <c r="A179" t="str">
        <f t="shared" si="2"/>
        <v/>
      </c>
      <c r="AC179" s="15"/>
    </row>
    <row r="180" spans="1:29" ht="18" customHeight="1" x14ac:dyDescent="0.2">
      <c r="A180" t="str">
        <f t="shared" si="2"/>
        <v/>
      </c>
      <c r="AC180" s="15"/>
    </row>
    <row r="181" spans="1:29" ht="18" customHeight="1" x14ac:dyDescent="0.2">
      <c r="A181" t="str">
        <f t="shared" si="2"/>
        <v/>
      </c>
      <c r="AC181" s="15"/>
    </row>
    <row r="182" spans="1:29" ht="18" customHeight="1" x14ac:dyDescent="0.2">
      <c r="A182" t="str">
        <f t="shared" si="2"/>
        <v/>
      </c>
      <c r="AC182" s="15"/>
    </row>
    <row r="183" spans="1:29" ht="18" customHeight="1" x14ac:dyDescent="0.2">
      <c r="A183" t="str">
        <f t="shared" si="2"/>
        <v/>
      </c>
      <c r="AC183" s="15"/>
    </row>
    <row r="184" spans="1:29" ht="18" customHeight="1" x14ac:dyDescent="0.2">
      <c r="A184" t="str">
        <f t="shared" si="2"/>
        <v/>
      </c>
      <c r="AC184" s="15"/>
    </row>
    <row r="185" spans="1:29" ht="18" customHeight="1" x14ac:dyDescent="0.2">
      <c r="A185" t="str">
        <f t="shared" si="2"/>
        <v/>
      </c>
      <c r="AC185" s="15"/>
    </row>
    <row r="186" spans="1:29" ht="18" customHeight="1" x14ac:dyDescent="0.2">
      <c r="A186" t="str">
        <f t="shared" si="2"/>
        <v/>
      </c>
      <c r="AC186" s="15"/>
    </row>
    <row r="187" spans="1:29" ht="18" customHeight="1" x14ac:dyDescent="0.2">
      <c r="A187" t="str">
        <f t="shared" si="2"/>
        <v/>
      </c>
      <c r="AC187" s="15"/>
    </row>
    <row r="188" spans="1:29" ht="18" customHeight="1" x14ac:dyDescent="0.2">
      <c r="A188" t="str">
        <f t="shared" si="2"/>
        <v/>
      </c>
      <c r="AC188" s="15"/>
    </row>
    <row r="189" spans="1:29" ht="18" customHeight="1" x14ac:dyDescent="0.2">
      <c r="A189" t="str">
        <f t="shared" si="2"/>
        <v/>
      </c>
      <c r="AC189" s="15"/>
    </row>
    <row r="190" spans="1:29" ht="18" customHeight="1" x14ac:dyDescent="0.2">
      <c r="A190" t="str">
        <f t="shared" si="2"/>
        <v/>
      </c>
      <c r="AC190" s="15"/>
    </row>
    <row r="191" spans="1:29" ht="18" customHeight="1" x14ac:dyDescent="0.2">
      <c r="A191" t="str">
        <f t="shared" si="2"/>
        <v/>
      </c>
      <c r="AC191" s="15"/>
    </row>
    <row r="192" spans="1:29" ht="18" customHeight="1" x14ac:dyDescent="0.2">
      <c r="A192" t="str">
        <f t="shared" si="2"/>
        <v/>
      </c>
      <c r="AC192" s="15"/>
    </row>
    <row r="193" spans="1:29" ht="18" customHeight="1" x14ac:dyDescent="0.2">
      <c r="A193" t="str">
        <f t="shared" si="2"/>
        <v/>
      </c>
      <c r="AC193" s="15"/>
    </row>
    <row r="194" spans="1:29" ht="18" customHeight="1" x14ac:dyDescent="0.2">
      <c r="A194" t="str">
        <f t="shared" si="2"/>
        <v/>
      </c>
      <c r="AC194" s="15"/>
    </row>
    <row r="195" spans="1:29" ht="18" customHeight="1" x14ac:dyDescent="0.2">
      <c r="A195" t="str">
        <f t="shared" si="2"/>
        <v/>
      </c>
      <c r="AC195" s="15"/>
    </row>
    <row r="196" spans="1:29" ht="18" customHeight="1" x14ac:dyDescent="0.2">
      <c r="A196" t="str">
        <f t="shared" si="2"/>
        <v/>
      </c>
      <c r="AC196" s="15"/>
    </row>
    <row r="197" spans="1:29" ht="18" customHeight="1" x14ac:dyDescent="0.2">
      <c r="A197" t="str">
        <f t="shared" ref="A197:A260" si="3">IF(C197&lt;&gt;"","HC/"&amp;(ROW()-4),"")</f>
        <v/>
      </c>
      <c r="AC197" s="15"/>
    </row>
    <row r="198" spans="1:29" ht="18" customHeight="1" x14ac:dyDescent="0.2">
      <c r="A198" t="str">
        <f t="shared" si="3"/>
        <v/>
      </c>
      <c r="AC198" s="15"/>
    </row>
    <row r="199" spans="1:29" ht="18" customHeight="1" x14ac:dyDescent="0.2">
      <c r="A199" t="str">
        <f t="shared" si="3"/>
        <v/>
      </c>
      <c r="AC199" s="15"/>
    </row>
    <row r="200" spans="1:29" ht="18" customHeight="1" x14ac:dyDescent="0.2">
      <c r="A200" t="str">
        <f t="shared" si="3"/>
        <v/>
      </c>
      <c r="AC200" s="15"/>
    </row>
    <row r="201" spans="1:29" ht="18" customHeight="1" x14ac:dyDescent="0.2">
      <c r="A201" t="str">
        <f t="shared" si="3"/>
        <v/>
      </c>
      <c r="AC201" s="15"/>
    </row>
    <row r="202" spans="1:29" ht="18" customHeight="1" x14ac:dyDescent="0.2">
      <c r="A202" t="str">
        <f t="shared" si="3"/>
        <v/>
      </c>
      <c r="AC202" s="15"/>
    </row>
    <row r="203" spans="1:29" ht="18" customHeight="1" x14ac:dyDescent="0.2">
      <c r="A203" t="str">
        <f t="shared" si="3"/>
        <v/>
      </c>
      <c r="AC203" s="15"/>
    </row>
    <row r="204" spans="1:29" ht="18" customHeight="1" x14ac:dyDescent="0.2">
      <c r="A204" t="str">
        <f t="shared" si="3"/>
        <v/>
      </c>
      <c r="AC204" s="15"/>
    </row>
    <row r="205" spans="1:29" ht="18" customHeight="1" x14ac:dyDescent="0.2">
      <c r="A205" t="str">
        <f t="shared" si="3"/>
        <v/>
      </c>
      <c r="AC205" s="15"/>
    </row>
    <row r="206" spans="1:29" ht="18" customHeight="1" x14ac:dyDescent="0.2">
      <c r="A206" t="str">
        <f t="shared" si="3"/>
        <v/>
      </c>
      <c r="AC206" s="15"/>
    </row>
    <row r="207" spans="1:29" ht="18" customHeight="1" x14ac:dyDescent="0.2">
      <c r="A207" t="str">
        <f t="shared" si="3"/>
        <v/>
      </c>
      <c r="AC207" s="15"/>
    </row>
    <row r="208" spans="1:29" ht="18" customHeight="1" x14ac:dyDescent="0.2">
      <c r="A208" t="str">
        <f t="shared" si="3"/>
        <v/>
      </c>
      <c r="AC208" s="15"/>
    </row>
    <row r="209" spans="1:29" ht="18" customHeight="1" x14ac:dyDescent="0.2">
      <c r="A209" t="str">
        <f t="shared" si="3"/>
        <v/>
      </c>
      <c r="AC209" s="15"/>
    </row>
    <row r="210" spans="1:29" ht="18" customHeight="1" x14ac:dyDescent="0.2">
      <c r="A210" t="str">
        <f t="shared" si="3"/>
        <v/>
      </c>
      <c r="AC210" s="15"/>
    </row>
    <row r="211" spans="1:29" ht="18" customHeight="1" x14ac:dyDescent="0.2">
      <c r="A211" t="str">
        <f t="shared" si="3"/>
        <v/>
      </c>
      <c r="AC211" s="15"/>
    </row>
    <row r="212" spans="1:29" ht="18" customHeight="1" x14ac:dyDescent="0.2">
      <c r="A212" t="str">
        <f t="shared" si="3"/>
        <v/>
      </c>
      <c r="AC212" s="15"/>
    </row>
    <row r="213" spans="1:29" ht="18" customHeight="1" x14ac:dyDescent="0.2">
      <c r="A213" t="str">
        <f t="shared" si="3"/>
        <v/>
      </c>
      <c r="AC213" s="15"/>
    </row>
    <row r="214" spans="1:29" ht="18" customHeight="1" x14ac:dyDescent="0.2">
      <c r="A214" t="str">
        <f t="shared" si="3"/>
        <v/>
      </c>
      <c r="AC214" s="15"/>
    </row>
    <row r="215" spans="1:29" ht="18" customHeight="1" x14ac:dyDescent="0.2">
      <c r="A215" t="str">
        <f t="shared" si="3"/>
        <v/>
      </c>
      <c r="AC215" s="15"/>
    </row>
    <row r="216" spans="1:29" ht="18" customHeight="1" x14ac:dyDescent="0.2">
      <c r="A216" t="str">
        <f t="shared" si="3"/>
        <v/>
      </c>
      <c r="AC216" s="15"/>
    </row>
    <row r="217" spans="1:29" ht="18" customHeight="1" x14ac:dyDescent="0.2">
      <c r="A217" t="str">
        <f t="shared" si="3"/>
        <v/>
      </c>
      <c r="AC217" s="15"/>
    </row>
    <row r="218" spans="1:29" ht="18" customHeight="1" x14ac:dyDescent="0.2">
      <c r="A218" t="str">
        <f t="shared" si="3"/>
        <v/>
      </c>
      <c r="AC218" s="15"/>
    </row>
    <row r="219" spans="1:29" ht="18" customHeight="1" x14ac:dyDescent="0.2">
      <c r="A219" t="str">
        <f t="shared" si="3"/>
        <v/>
      </c>
      <c r="AC219" s="15"/>
    </row>
    <row r="220" spans="1:29" ht="18" customHeight="1" x14ac:dyDescent="0.2">
      <c r="A220" t="str">
        <f t="shared" si="3"/>
        <v/>
      </c>
      <c r="AC220" s="15"/>
    </row>
    <row r="221" spans="1:29" ht="18" customHeight="1" x14ac:dyDescent="0.2">
      <c r="A221" t="str">
        <f t="shared" si="3"/>
        <v/>
      </c>
      <c r="AC221" s="15"/>
    </row>
    <row r="222" spans="1:29" ht="18" customHeight="1" x14ac:dyDescent="0.2">
      <c r="A222" t="str">
        <f t="shared" si="3"/>
        <v/>
      </c>
      <c r="AC222" s="15"/>
    </row>
    <row r="223" spans="1:29" ht="18" customHeight="1" x14ac:dyDescent="0.2">
      <c r="A223" t="str">
        <f t="shared" si="3"/>
        <v/>
      </c>
      <c r="AC223" s="15"/>
    </row>
    <row r="224" spans="1:29" ht="18" customHeight="1" x14ac:dyDescent="0.2">
      <c r="A224" t="str">
        <f t="shared" si="3"/>
        <v/>
      </c>
      <c r="AC224" s="15"/>
    </row>
    <row r="225" spans="1:29" ht="18" customHeight="1" x14ac:dyDescent="0.2">
      <c r="A225" t="str">
        <f t="shared" si="3"/>
        <v/>
      </c>
      <c r="AC225" s="15"/>
    </row>
    <row r="226" spans="1:29" ht="18" customHeight="1" x14ac:dyDescent="0.2">
      <c r="A226" t="str">
        <f t="shared" si="3"/>
        <v/>
      </c>
      <c r="AC226" s="15"/>
    </row>
    <row r="227" spans="1:29" ht="18" customHeight="1" x14ac:dyDescent="0.2">
      <c r="A227" t="str">
        <f t="shared" si="3"/>
        <v/>
      </c>
      <c r="AC227" s="15"/>
    </row>
    <row r="228" spans="1:29" ht="18" customHeight="1" x14ac:dyDescent="0.2">
      <c r="A228" t="str">
        <f t="shared" si="3"/>
        <v/>
      </c>
      <c r="AC228" s="15"/>
    </row>
    <row r="229" spans="1:29" ht="18" customHeight="1" x14ac:dyDescent="0.2">
      <c r="A229" t="str">
        <f t="shared" si="3"/>
        <v/>
      </c>
      <c r="AC229" s="15"/>
    </row>
    <row r="230" spans="1:29" ht="18" customHeight="1" x14ac:dyDescent="0.2">
      <c r="A230" t="str">
        <f t="shared" si="3"/>
        <v/>
      </c>
      <c r="AC230" s="15"/>
    </row>
    <row r="231" spans="1:29" ht="18" customHeight="1" x14ac:dyDescent="0.2">
      <c r="A231" t="str">
        <f t="shared" si="3"/>
        <v/>
      </c>
      <c r="AC231" s="15"/>
    </row>
    <row r="232" spans="1:29" ht="18" customHeight="1" x14ac:dyDescent="0.2">
      <c r="A232" t="str">
        <f t="shared" si="3"/>
        <v/>
      </c>
      <c r="AC232" s="15"/>
    </row>
    <row r="233" spans="1:29" ht="18" customHeight="1" x14ac:dyDescent="0.2">
      <c r="A233" t="str">
        <f t="shared" si="3"/>
        <v/>
      </c>
      <c r="AC233" s="15"/>
    </row>
    <row r="234" spans="1:29" ht="18" customHeight="1" x14ac:dyDescent="0.2">
      <c r="A234" t="str">
        <f t="shared" si="3"/>
        <v/>
      </c>
      <c r="AC234" s="15"/>
    </row>
    <row r="235" spans="1:29" ht="18" customHeight="1" x14ac:dyDescent="0.2">
      <c r="A235" t="str">
        <f t="shared" si="3"/>
        <v/>
      </c>
      <c r="AC235" s="15"/>
    </row>
    <row r="236" spans="1:29" ht="18" customHeight="1" x14ac:dyDescent="0.2">
      <c r="A236" t="str">
        <f t="shared" si="3"/>
        <v/>
      </c>
      <c r="AC236" s="15"/>
    </row>
    <row r="237" spans="1:29" ht="18" customHeight="1" x14ac:dyDescent="0.2">
      <c r="A237" t="str">
        <f t="shared" si="3"/>
        <v/>
      </c>
      <c r="AC237" s="15"/>
    </row>
    <row r="238" spans="1:29" ht="18" customHeight="1" x14ac:dyDescent="0.2">
      <c r="A238" t="str">
        <f t="shared" si="3"/>
        <v/>
      </c>
      <c r="AC238" s="15"/>
    </row>
    <row r="239" spans="1:29" ht="18" customHeight="1" x14ac:dyDescent="0.2">
      <c r="A239" t="str">
        <f t="shared" si="3"/>
        <v/>
      </c>
      <c r="AC239" s="15"/>
    </row>
    <row r="240" spans="1:29" ht="18" customHeight="1" x14ac:dyDescent="0.2">
      <c r="A240" t="str">
        <f t="shared" si="3"/>
        <v/>
      </c>
      <c r="AC240" s="15"/>
    </row>
    <row r="241" spans="1:29" ht="18" customHeight="1" x14ac:dyDescent="0.2">
      <c r="A241" t="str">
        <f t="shared" si="3"/>
        <v/>
      </c>
      <c r="AC241" s="15"/>
    </row>
    <row r="242" spans="1:29" ht="18" customHeight="1" x14ac:dyDescent="0.2">
      <c r="A242" t="str">
        <f t="shared" si="3"/>
        <v/>
      </c>
      <c r="AC242" s="15"/>
    </row>
    <row r="243" spans="1:29" ht="18" customHeight="1" x14ac:dyDescent="0.2">
      <c r="A243" t="str">
        <f t="shared" si="3"/>
        <v/>
      </c>
      <c r="AC243" s="15"/>
    </row>
    <row r="244" spans="1:29" ht="18" customHeight="1" x14ac:dyDescent="0.2">
      <c r="A244" t="str">
        <f t="shared" si="3"/>
        <v/>
      </c>
      <c r="AC244" s="15"/>
    </row>
    <row r="245" spans="1:29" ht="18" customHeight="1" x14ac:dyDescent="0.2">
      <c r="A245" t="str">
        <f t="shared" si="3"/>
        <v/>
      </c>
      <c r="AC245" s="15"/>
    </row>
    <row r="246" spans="1:29" ht="18" customHeight="1" x14ac:dyDescent="0.2">
      <c r="A246" t="str">
        <f t="shared" si="3"/>
        <v/>
      </c>
      <c r="AC246" s="15"/>
    </row>
    <row r="247" spans="1:29" ht="18" customHeight="1" x14ac:dyDescent="0.2">
      <c r="A247" t="str">
        <f t="shared" si="3"/>
        <v/>
      </c>
      <c r="AC247" s="15"/>
    </row>
    <row r="248" spans="1:29" ht="18" customHeight="1" x14ac:dyDescent="0.2">
      <c r="A248" t="str">
        <f t="shared" si="3"/>
        <v/>
      </c>
      <c r="AC248" s="15"/>
    </row>
    <row r="249" spans="1:29" ht="18" customHeight="1" x14ac:dyDescent="0.2">
      <c r="A249" t="str">
        <f t="shared" si="3"/>
        <v/>
      </c>
      <c r="AC249" s="15"/>
    </row>
    <row r="250" spans="1:29" ht="18" customHeight="1" x14ac:dyDescent="0.2">
      <c r="A250" t="str">
        <f t="shared" si="3"/>
        <v/>
      </c>
      <c r="AC250" s="15"/>
    </row>
    <row r="251" spans="1:29" ht="18" customHeight="1" x14ac:dyDescent="0.2">
      <c r="A251" t="str">
        <f t="shared" si="3"/>
        <v/>
      </c>
      <c r="AC251" s="15"/>
    </row>
    <row r="252" spans="1:29" ht="18" customHeight="1" x14ac:dyDescent="0.2">
      <c r="A252" t="str">
        <f t="shared" si="3"/>
        <v/>
      </c>
      <c r="AC252" s="15"/>
    </row>
    <row r="253" spans="1:29" ht="18" customHeight="1" x14ac:dyDescent="0.2">
      <c r="A253" t="str">
        <f t="shared" si="3"/>
        <v/>
      </c>
      <c r="AC253" s="15"/>
    </row>
    <row r="254" spans="1:29" ht="18" customHeight="1" x14ac:dyDescent="0.2">
      <c r="A254" t="str">
        <f t="shared" si="3"/>
        <v/>
      </c>
      <c r="AC254" s="15"/>
    </row>
    <row r="255" spans="1:29" ht="18" customHeight="1" x14ac:dyDescent="0.2">
      <c r="A255" t="str">
        <f t="shared" si="3"/>
        <v/>
      </c>
      <c r="AC255" s="15"/>
    </row>
    <row r="256" spans="1:29" ht="18" customHeight="1" x14ac:dyDescent="0.2">
      <c r="A256" t="str">
        <f t="shared" si="3"/>
        <v/>
      </c>
      <c r="AC256" s="15"/>
    </row>
    <row r="257" spans="1:29" ht="18" customHeight="1" x14ac:dyDescent="0.2">
      <c r="A257" t="str">
        <f t="shared" si="3"/>
        <v/>
      </c>
      <c r="AC257" s="15"/>
    </row>
    <row r="258" spans="1:29" ht="18" customHeight="1" x14ac:dyDescent="0.2">
      <c r="A258" t="str">
        <f t="shared" si="3"/>
        <v/>
      </c>
      <c r="AC258" s="15"/>
    </row>
    <row r="259" spans="1:29" ht="18" customHeight="1" x14ac:dyDescent="0.2">
      <c r="A259" t="str">
        <f t="shared" si="3"/>
        <v/>
      </c>
      <c r="AC259" s="15"/>
    </row>
    <row r="260" spans="1:29" ht="18" customHeight="1" x14ac:dyDescent="0.2">
      <c r="A260" t="str">
        <f t="shared" si="3"/>
        <v/>
      </c>
      <c r="AC260" s="15"/>
    </row>
    <row r="261" spans="1:29" ht="18" customHeight="1" x14ac:dyDescent="0.2">
      <c r="A261" t="str">
        <f t="shared" ref="A261:A324" si="4">IF(C261&lt;&gt;"","HC/"&amp;(ROW()-4),"")</f>
        <v/>
      </c>
      <c r="AC261" s="15"/>
    </row>
    <row r="262" spans="1:29" ht="18" customHeight="1" x14ac:dyDescent="0.2">
      <c r="A262" t="str">
        <f t="shared" si="4"/>
        <v/>
      </c>
      <c r="AC262" s="15"/>
    </row>
    <row r="263" spans="1:29" ht="18" customHeight="1" x14ac:dyDescent="0.2">
      <c r="A263" t="str">
        <f t="shared" si="4"/>
        <v/>
      </c>
      <c r="AC263" s="15"/>
    </row>
    <row r="264" spans="1:29" ht="18" customHeight="1" x14ac:dyDescent="0.2">
      <c r="A264" t="str">
        <f t="shared" si="4"/>
        <v/>
      </c>
      <c r="AC264" s="15"/>
    </row>
    <row r="265" spans="1:29" ht="18" customHeight="1" x14ac:dyDescent="0.2">
      <c r="A265" t="str">
        <f t="shared" si="4"/>
        <v/>
      </c>
      <c r="AC265" s="15"/>
    </row>
    <row r="266" spans="1:29" ht="18" customHeight="1" x14ac:dyDescent="0.2">
      <c r="A266" t="str">
        <f t="shared" si="4"/>
        <v/>
      </c>
      <c r="AC266" s="15"/>
    </row>
    <row r="267" spans="1:29" ht="18" customHeight="1" x14ac:dyDescent="0.2">
      <c r="A267" t="str">
        <f t="shared" si="4"/>
        <v/>
      </c>
      <c r="AC267" s="15"/>
    </row>
    <row r="268" spans="1:29" ht="18" customHeight="1" x14ac:dyDescent="0.2">
      <c r="A268" t="str">
        <f t="shared" si="4"/>
        <v/>
      </c>
      <c r="AC268" s="15"/>
    </row>
    <row r="269" spans="1:29" ht="18" customHeight="1" x14ac:dyDescent="0.2">
      <c r="A269" t="str">
        <f t="shared" si="4"/>
        <v/>
      </c>
      <c r="AC269" s="15"/>
    </row>
    <row r="270" spans="1:29" ht="18" customHeight="1" x14ac:dyDescent="0.2">
      <c r="A270" t="str">
        <f t="shared" si="4"/>
        <v/>
      </c>
      <c r="AC270" s="15"/>
    </row>
    <row r="271" spans="1:29" ht="18" customHeight="1" x14ac:dyDescent="0.2">
      <c r="A271" t="str">
        <f t="shared" si="4"/>
        <v/>
      </c>
      <c r="AC271" s="15"/>
    </row>
    <row r="272" spans="1:29" ht="18" customHeight="1" x14ac:dyDescent="0.2">
      <c r="A272" t="str">
        <f t="shared" si="4"/>
        <v/>
      </c>
      <c r="AC272" s="15"/>
    </row>
    <row r="273" spans="1:29" ht="18" customHeight="1" x14ac:dyDescent="0.2">
      <c r="A273" t="str">
        <f t="shared" si="4"/>
        <v/>
      </c>
      <c r="AC273" s="15"/>
    </row>
    <row r="274" spans="1:29" ht="18" customHeight="1" x14ac:dyDescent="0.2">
      <c r="A274" t="str">
        <f t="shared" si="4"/>
        <v/>
      </c>
      <c r="AC274" s="15"/>
    </row>
    <row r="275" spans="1:29" ht="18" customHeight="1" x14ac:dyDescent="0.2">
      <c r="A275" t="str">
        <f t="shared" si="4"/>
        <v/>
      </c>
      <c r="AC275" s="15"/>
    </row>
    <row r="276" spans="1:29" ht="18" customHeight="1" x14ac:dyDescent="0.2">
      <c r="A276" t="str">
        <f t="shared" si="4"/>
        <v/>
      </c>
      <c r="AC276" s="15"/>
    </row>
    <row r="277" spans="1:29" ht="18" customHeight="1" x14ac:dyDescent="0.2">
      <c r="A277" t="str">
        <f t="shared" si="4"/>
        <v/>
      </c>
      <c r="AC277" s="15"/>
    </row>
    <row r="278" spans="1:29" ht="18" customHeight="1" x14ac:dyDescent="0.2">
      <c r="A278" t="str">
        <f t="shared" si="4"/>
        <v/>
      </c>
      <c r="AC278" s="15"/>
    </row>
    <row r="279" spans="1:29" ht="18" customHeight="1" x14ac:dyDescent="0.2">
      <c r="A279" t="str">
        <f t="shared" si="4"/>
        <v/>
      </c>
      <c r="AC279" s="15"/>
    </row>
    <row r="280" spans="1:29" ht="18" customHeight="1" x14ac:dyDescent="0.2">
      <c r="A280" t="str">
        <f t="shared" si="4"/>
        <v/>
      </c>
      <c r="AC280" s="15"/>
    </row>
    <row r="281" spans="1:29" ht="18" customHeight="1" x14ac:dyDescent="0.2">
      <c r="A281" t="str">
        <f t="shared" si="4"/>
        <v/>
      </c>
      <c r="AC281" s="15"/>
    </row>
    <row r="282" spans="1:29" ht="18" customHeight="1" x14ac:dyDescent="0.2">
      <c r="A282" t="str">
        <f t="shared" si="4"/>
        <v/>
      </c>
      <c r="AC282" s="15"/>
    </row>
    <row r="283" spans="1:29" ht="18" customHeight="1" x14ac:dyDescent="0.2">
      <c r="A283" t="str">
        <f t="shared" si="4"/>
        <v/>
      </c>
      <c r="AC283" s="15"/>
    </row>
    <row r="284" spans="1:29" ht="18" customHeight="1" x14ac:dyDescent="0.2">
      <c r="A284" t="str">
        <f t="shared" si="4"/>
        <v/>
      </c>
      <c r="AC284" s="15"/>
    </row>
    <row r="285" spans="1:29" ht="18" customHeight="1" x14ac:dyDescent="0.2">
      <c r="A285" t="str">
        <f t="shared" si="4"/>
        <v/>
      </c>
      <c r="AC285" s="15"/>
    </row>
    <row r="286" spans="1:29" ht="18" customHeight="1" x14ac:dyDescent="0.2">
      <c r="A286" t="str">
        <f t="shared" si="4"/>
        <v/>
      </c>
      <c r="AC286" s="15"/>
    </row>
    <row r="287" spans="1:29" ht="18" customHeight="1" x14ac:dyDescent="0.2">
      <c r="A287" t="str">
        <f t="shared" si="4"/>
        <v/>
      </c>
      <c r="AC287" s="15"/>
    </row>
    <row r="288" spans="1:29" ht="18" customHeight="1" x14ac:dyDescent="0.2">
      <c r="A288" t="str">
        <f t="shared" si="4"/>
        <v/>
      </c>
      <c r="AC288" s="15"/>
    </row>
    <row r="289" spans="1:29" ht="18" customHeight="1" x14ac:dyDescent="0.2">
      <c r="A289" t="str">
        <f t="shared" si="4"/>
        <v/>
      </c>
      <c r="AC289" s="15"/>
    </row>
    <row r="290" spans="1:29" ht="18" customHeight="1" x14ac:dyDescent="0.2">
      <c r="A290" t="str">
        <f t="shared" si="4"/>
        <v/>
      </c>
      <c r="AC290" s="15"/>
    </row>
    <row r="291" spans="1:29" ht="18" customHeight="1" x14ac:dyDescent="0.2">
      <c r="A291" t="str">
        <f t="shared" si="4"/>
        <v/>
      </c>
      <c r="AC291" s="15"/>
    </row>
    <row r="292" spans="1:29" ht="18" customHeight="1" x14ac:dyDescent="0.2">
      <c r="A292" t="str">
        <f t="shared" si="4"/>
        <v/>
      </c>
      <c r="AC292" s="15"/>
    </row>
    <row r="293" spans="1:29" ht="18" customHeight="1" x14ac:dyDescent="0.2">
      <c r="A293" t="str">
        <f t="shared" si="4"/>
        <v/>
      </c>
      <c r="AC293" s="15"/>
    </row>
    <row r="294" spans="1:29" ht="18" customHeight="1" x14ac:dyDescent="0.2">
      <c r="A294" t="str">
        <f t="shared" si="4"/>
        <v/>
      </c>
      <c r="AC294" s="15"/>
    </row>
    <row r="295" spans="1:29" ht="18" customHeight="1" x14ac:dyDescent="0.2">
      <c r="A295" t="str">
        <f t="shared" si="4"/>
        <v/>
      </c>
      <c r="AC295" s="15"/>
    </row>
    <row r="296" spans="1:29" ht="18" customHeight="1" x14ac:dyDescent="0.2">
      <c r="A296" t="str">
        <f t="shared" si="4"/>
        <v/>
      </c>
      <c r="AC296" s="15"/>
    </row>
    <row r="297" spans="1:29" ht="18" customHeight="1" x14ac:dyDescent="0.2">
      <c r="A297" t="str">
        <f t="shared" si="4"/>
        <v/>
      </c>
      <c r="AC297" s="15"/>
    </row>
    <row r="298" spans="1:29" ht="18" customHeight="1" x14ac:dyDescent="0.2">
      <c r="A298" t="str">
        <f t="shared" si="4"/>
        <v/>
      </c>
      <c r="AC298" s="15"/>
    </row>
    <row r="299" spans="1:29" ht="18" customHeight="1" x14ac:dyDescent="0.2">
      <c r="A299" t="str">
        <f t="shared" si="4"/>
        <v/>
      </c>
      <c r="AC299" s="15"/>
    </row>
    <row r="300" spans="1:29" ht="18" customHeight="1" x14ac:dyDescent="0.2">
      <c r="A300" t="str">
        <f t="shared" si="4"/>
        <v/>
      </c>
      <c r="AC300" s="15"/>
    </row>
    <row r="301" spans="1:29" ht="18" customHeight="1" x14ac:dyDescent="0.2">
      <c r="A301" t="str">
        <f t="shared" si="4"/>
        <v/>
      </c>
      <c r="AC301" s="15"/>
    </row>
    <row r="302" spans="1:29" ht="18" customHeight="1" x14ac:dyDescent="0.2">
      <c r="A302" t="str">
        <f t="shared" si="4"/>
        <v/>
      </c>
      <c r="AC302" s="15"/>
    </row>
    <row r="303" spans="1:29" ht="18" customHeight="1" x14ac:dyDescent="0.2">
      <c r="A303" t="str">
        <f t="shared" si="4"/>
        <v/>
      </c>
      <c r="AC303" s="15"/>
    </row>
    <row r="304" spans="1:29" ht="18" customHeight="1" x14ac:dyDescent="0.2">
      <c r="A304" t="str">
        <f t="shared" si="4"/>
        <v/>
      </c>
      <c r="AC304" s="15"/>
    </row>
    <row r="305" spans="1:29" ht="18" customHeight="1" x14ac:dyDescent="0.2">
      <c r="A305" t="str">
        <f t="shared" si="4"/>
        <v/>
      </c>
      <c r="AC305" s="15"/>
    </row>
    <row r="306" spans="1:29" ht="18" customHeight="1" x14ac:dyDescent="0.2">
      <c r="A306" t="str">
        <f t="shared" si="4"/>
        <v/>
      </c>
      <c r="AC306" s="15"/>
    </row>
    <row r="307" spans="1:29" ht="18" customHeight="1" x14ac:dyDescent="0.2">
      <c r="A307" t="str">
        <f t="shared" si="4"/>
        <v/>
      </c>
      <c r="AC307" s="15"/>
    </row>
    <row r="308" spans="1:29" ht="18" customHeight="1" x14ac:dyDescent="0.2">
      <c r="A308" t="str">
        <f t="shared" si="4"/>
        <v/>
      </c>
      <c r="AC308" s="15"/>
    </row>
    <row r="309" spans="1:29" ht="18" customHeight="1" x14ac:dyDescent="0.2">
      <c r="A309" t="str">
        <f t="shared" si="4"/>
        <v/>
      </c>
      <c r="AC309" s="15"/>
    </row>
    <row r="310" spans="1:29" ht="18" customHeight="1" x14ac:dyDescent="0.2">
      <c r="A310" t="str">
        <f t="shared" si="4"/>
        <v/>
      </c>
      <c r="AC310" s="15"/>
    </row>
    <row r="311" spans="1:29" ht="18" customHeight="1" x14ac:dyDescent="0.2">
      <c r="A311" t="str">
        <f t="shared" si="4"/>
        <v/>
      </c>
      <c r="AC311" s="15"/>
    </row>
    <row r="312" spans="1:29" ht="18" customHeight="1" x14ac:dyDescent="0.2">
      <c r="A312" t="str">
        <f t="shared" si="4"/>
        <v/>
      </c>
      <c r="AC312" s="15"/>
    </row>
    <row r="313" spans="1:29" ht="18" customHeight="1" x14ac:dyDescent="0.2">
      <c r="A313" t="str">
        <f t="shared" si="4"/>
        <v/>
      </c>
      <c r="AC313" s="15"/>
    </row>
    <row r="314" spans="1:29" ht="18" customHeight="1" x14ac:dyDescent="0.2">
      <c r="A314" t="str">
        <f t="shared" si="4"/>
        <v/>
      </c>
      <c r="AC314" s="15"/>
    </row>
    <row r="315" spans="1:29" ht="18" customHeight="1" x14ac:dyDescent="0.2">
      <c r="A315" t="str">
        <f t="shared" si="4"/>
        <v/>
      </c>
      <c r="AC315" s="15"/>
    </row>
    <row r="316" spans="1:29" ht="18" customHeight="1" x14ac:dyDescent="0.2">
      <c r="A316" t="str">
        <f t="shared" si="4"/>
        <v/>
      </c>
      <c r="AC316" s="15"/>
    </row>
    <row r="317" spans="1:29" ht="18" customHeight="1" x14ac:dyDescent="0.2">
      <c r="A317" t="str">
        <f t="shared" si="4"/>
        <v/>
      </c>
      <c r="AC317" s="15"/>
    </row>
    <row r="318" spans="1:29" ht="18" customHeight="1" x14ac:dyDescent="0.2">
      <c r="A318" t="str">
        <f t="shared" si="4"/>
        <v/>
      </c>
      <c r="AC318" s="15"/>
    </row>
    <row r="319" spans="1:29" ht="18" customHeight="1" x14ac:dyDescent="0.2">
      <c r="A319" t="str">
        <f t="shared" si="4"/>
        <v/>
      </c>
      <c r="AC319" s="15"/>
    </row>
    <row r="320" spans="1:29" ht="18" customHeight="1" x14ac:dyDescent="0.2">
      <c r="A320" t="str">
        <f t="shared" si="4"/>
        <v/>
      </c>
      <c r="AC320" s="15"/>
    </row>
    <row r="321" spans="1:29" ht="18" customHeight="1" x14ac:dyDescent="0.2">
      <c r="A321" t="str">
        <f t="shared" si="4"/>
        <v/>
      </c>
      <c r="AC321" s="15"/>
    </row>
    <row r="322" spans="1:29" ht="18" customHeight="1" x14ac:dyDescent="0.2">
      <c r="A322" t="str">
        <f t="shared" si="4"/>
        <v/>
      </c>
      <c r="AC322" s="15"/>
    </row>
    <row r="323" spans="1:29" ht="18" customHeight="1" x14ac:dyDescent="0.2">
      <c r="A323" t="str">
        <f t="shared" si="4"/>
        <v/>
      </c>
      <c r="AC323" s="15"/>
    </row>
    <row r="324" spans="1:29" ht="18" customHeight="1" x14ac:dyDescent="0.2">
      <c r="A324" t="str">
        <f t="shared" si="4"/>
        <v/>
      </c>
      <c r="AC324" s="15"/>
    </row>
    <row r="325" spans="1:29" ht="18" customHeight="1" x14ac:dyDescent="0.2">
      <c r="A325" t="str">
        <f t="shared" ref="A325:A388" si="5">IF(C325&lt;&gt;"","HC/"&amp;(ROW()-4),"")</f>
        <v/>
      </c>
      <c r="AC325" s="15"/>
    </row>
    <row r="326" spans="1:29" ht="18" customHeight="1" x14ac:dyDescent="0.2">
      <c r="A326" t="str">
        <f t="shared" si="5"/>
        <v/>
      </c>
      <c r="AC326" s="15"/>
    </row>
    <row r="327" spans="1:29" ht="18" customHeight="1" x14ac:dyDescent="0.2">
      <c r="A327" t="str">
        <f t="shared" si="5"/>
        <v/>
      </c>
      <c r="AC327" s="15"/>
    </row>
    <row r="328" spans="1:29" ht="18" customHeight="1" x14ac:dyDescent="0.2">
      <c r="A328" t="str">
        <f t="shared" si="5"/>
        <v/>
      </c>
      <c r="AC328" s="15"/>
    </row>
    <row r="329" spans="1:29" ht="18" customHeight="1" x14ac:dyDescent="0.2">
      <c r="A329" t="str">
        <f t="shared" si="5"/>
        <v/>
      </c>
      <c r="AC329" s="15"/>
    </row>
    <row r="330" spans="1:29" ht="18" customHeight="1" x14ac:dyDescent="0.2">
      <c r="A330" t="str">
        <f t="shared" si="5"/>
        <v/>
      </c>
      <c r="AC330" s="15"/>
    </row>
    <row r="331" spans="1:29" ht="18" customHeight="1" x14ac:dyDescent="0.2">
      <c r="A331" t="str">
        <f t="shared" si="5"/>
        <v/>
      </c>
      <c r="AC331" s="15"/>
    </row>
    <row r="332" spans="1:29" ht="18" customHeight="1" x14ac:dyDescent="0.2">
      <c r="A332" t="str">
        <f t="shared" si="5"/>
        <v/>
      </c>
      <c r="AC332" s="15"/>
    </row>
    <row r="333" spans="1:29" ht="18" customHeight="1" x14ac:dyDescent="0.2">
      <c r="A333" t="str">
        <f t="shared" si="5"/>
        <v/>
      </c>
      <c r="AC333" s="15"/>
    </row>
    <row r="334" spans="1:29" ht="18" customHeight="1" x14ac:dyDescent="0.2">
      <c r="A334" t="str">
        <f t="shared" si="5"/>
        <v/>
      </c>
      <c r="AC334" s="15"/>
    </row>
    <row r="335" spans="1:29" ht="18" customHeight="1" x14ac:dyDescent="0.2">
      <c r="A335" t="str">
        <f t="shared" si="5"/>
        <v/>
      </c>
      <c r="AC335" s="15"/>
    </row>
    <row r="336" spans="1:29" ht="18" customHeight="1" x14ac:dyDescent="0.2">
      <c r="A336" t="str">
        <f t="shared" si="5"/>
        <v/>
      </c>
      <c r="AC336" s="15"/>
    </row>
    <row r="337" spans="1:29" ht="18" customHeight="1" x14ac:dyDescent="0.2">
      <c r="A337" t="str">
        <f t="shared" si="5"/>
        <v/>
      </c>
      <c r="AC337" s="15"/>
    </row>
    <row r="338" spans="1:29" ht="18" customHeight="1" x14ac:dyDescent="0.2">
      <c r="A338" t="str">
        <f t="shared" si="5"/>
        <v/>
      </c>
      <c r="AC338" s="15"/>
    </row>
    <row r="339" spans="1:29" ht="18" customHeight="1" x14ac:dyDescent="0.2">
      <c r="A339" t="str">
        <f t="shared" si="5"/>
        <v/>
      </c>
      <c r="AC339" s="15"/>
    </row>
    <row r="340" spans="1:29" ht="18" customHeight="1" x14ac:dyDescent="0.2">
      <c r="A340" t="str">
        <f t="shared" si="5"/>
        <v/>
      </c>
      <c r="AC340" s="15"/>
    </row>
    <row r="341" spans="1:29" ht="18" customHeight="1" x14ac:dyDescent="0.2">
      <c r="A341" t="str">
        <f t="shared" si="5"/>
        <v/>
      </c>
      <c r="AC341" s="15"/>
    </row>
    <row r="342" spans="1:29" ht="18" customHeight="1" x14ac:dyDescent="0.2">
      <c r="A342" t="str">
        <f t="shared" si="5"/>
        <v/>
      </c>
      <c r="AC342" s="15"/>
    </row>
    <row r="343" spans="1:29" ht="18" customHeight="1" x14ac:dyDescent="0.2">
      <c r="A343" t="str">
        <f t="shared" si="5"/>
        <v/>
      </c>
      <c r="AC343" s="15"/>
    </row>
    <row r="344" spans="1:29" ht="18" customHeight="1" x14ac:dyDescent="0.2">
      <c r="A344" t="str">
        <f t="shared" si="5"/>
        <v/>
      </c>
      <c r="AC344" s="15"/>
    </row>
    <row r="345" spans="1:29" ht="18" customHeight="1" x14ac:dyDescent="0.2">
      <c r="A345" t="str">
        <f t="shared" si="5"/>
        <v/>
      </c>
      <c r="AC345" s="15"/>
    </row>
    <row r="346" spans="1:29" ht="18" customHeight="1" x14ac:dyDescent="0.2">
      <c r="A346" t="str">
        <f t="shared" si="5"/>
        <v/>
      </c>
      <c r="AC346" s="15"/>
    </row>
    <row r="347" spans="1:29" ht="18" customHeight="1" x14ac:dyDescent="0.2">
      <c r="A347" t="str">
        <f t="shared" si="5"/>
        <v/>
      </c>
      <c r="AC347" s="15"/>
    </row>
    <row r="348" spans="1:29" ht="18" customHeight="1" x14ac:dyDescent="0.2">
      <c r="A348" t="str">
        <f t="shared" si="5"/>
        <v/>
      </c>
      <c r="AC348" s="15"/>
    </row>
    <row r="349" spans="1:29" ht="18" customHeight="1" x14ac:dyDescent="0.2">
      <c r="A349" t="str">
        <f t="shared" si="5"/>
        <v/>
      </c>
      <c r="AC349" s="15"/>
    </row>
    <row r="350" spans="1:29" ht="18" customHeight="1" x14ac:dyDescent="0.2">
      <c r="A350" t="str">
        <f t="shared" si="5"/>
        <v/>
      </c>
      <c r="AC350" s="15"/>
    </row>
    <row r="351" spans="1:29" ht="18" customHeight="1" x14ac:dyDescent="0.2">
      <c r="A351" t="str">
        <f t="shared" si="5"/>
        <v/>
      </c>
      <c r="AC351" s="15"/>
    </row>
    <row r="352" spans="1:29" ht="18" customHeight="1" x14ac:dyDescent="0.2">
      <c r="A352" t="str">
        <f t="shared" si="5"/>
        <v/>
      </c>
      <c r="AC352" s="15"/>
    </row>
    <row r="353" spans="1:29" ht="18" customHeight="1" x14ac:dyDescent="0.2">
      <c r="A353" t="str">
        <f t="shared" si="5"/>
        <v/>
      </c>
      <c r="AC353" s="15"/>
    </row>
    <row r="354" spans="1:29" ht="18" customHeight="1" x14ac:dyDescent="0.2">
      <c r="A354" t="str">
        <f t="shared" si="5"/>
        <v/>
      </c>
      <c r="AC354" s="15"/>
    </row>
    <row r="355" spans="1:29" ht="18" customHeight="1" x14ac:dyDescent="0.2">
      <c r="A355" t="str">
        <f t="shared" si="5"/>
        <v/>
      </c>
      <c r="AC355" s="15"/>
    </row>
    <row r="356" spans="1:29" ht="18" customHeight="1" x14ac:dyDescent="0.2">
      <c r="A356" t="str">
        <f t="shared" si="5"/>
        <v/>
      </c>
      <c r="AC356" s="15"/>
    </row>
    <row r="357" spans="1:29" ht="18" customHeight="1" x14ac:dyDescent="0.2">
      <c r="A357" t="str">
        <f t="shared" si="5"/>
        <v/>
      </c>
      <c r="AC357" s="15"/>
    </row>
    <row r="358" spans="1:29" ht="18" customHeight="1" x14ac:dyDescent="0.2">
      <c r="A358" t="str">
        <f t="shared" si="5"/>
        <v/>
      </c>
      <c r="AC358" s="15"/>
    </row>
    <row r="359" spans="1:29" ht="18" customHeight="1" x14ac:dyDescent="0.2">
      <c r="A359" t="str">
        <f t="shared" si="5"/>
        <v/>
      </c>
      <c r="AC359" s="15"/>
    </row>
    <row r="360" spans="1:29" ht="18" customHeight="1" x14ac:dyDescent="0.2">
      <c r="A360" t="str">
        <f t="shared" si="5"/>
        <v/>
      </c>
      <c r="AC360" s="15"/>
    </row>
    <row r="361" spans="1:29" ht="18" customHeight="1" x14ac:dyDescent="0.2">
      <c r="A361" t="str">
        <f t="shared" si="5"/>
        <v/>
      </c>
      <c r="AC361" s="15"/>
    </row>
    <row r="362" spans="1:29" ht="18" customHeight="1" x14ac:dyDescent="0.2">
      <c r="A362" t="str">
        <f t="shared" si="5"/>
        <v/>
      </c>
      <c r="AC362" s="15"/>
    </row>
    <row r="363" spans="1:29" ht="18" customHeight="1" x14ac:dyDescent="0.2">
      <c r="A363" t="str">
        <f t="shared" si="5"/>
        <v/>
      </c>
      <c r="AC363" s="15"/>
    </row>
    <row r="364" spans="1:29" ht="18" customHeight="1" x14ac:dyDescent="0.2">
      <c r="A364" t="str">
        <f t="shared" si="5"/>
        <v/>
      </c>
      <c r="AC364" s="15"/>
    </row>
    <row r="365" spans="1:29" ht="18" customHeight="1" x14ac:dyDescent="0.2">
      <c r="A365" t="str">
        <f t="shared" si="5"/>
        <v/>
      </c>
      <c r="AC365" s="15"/>
    </row>
    <row r="366" spans="1:29" ht="18" customHeight="1" x14ac:dyDescent="0.2">
      <c r="A366" t="str">
        <f t="shared" si="5"/>
        <v/>
      </c>
      <c r="AC366" s="15"/>
    </row>
    <row r="367" spans="1:29" ht="18" customHeight="1" x14ac:dyDescent="0.2">
      <c r="A367" t="str">
        <f t="shared" si="5"/>
        <v/>
      </c>
      <c r="AC367" s="15"/>
    </row>
    <row r="368" spans="1:29" ht="18" customHeight="1" x14ac:dyDescent="0.2">
      <c r="A368" t="str">
        <f t="shared" si="5"/>
        <v/>
      </c>
      <c r="AC368" s="15"/>
    </row>
    <row r="369" spans="1:29" ht="18" customHeight="1" x14ac:dyDescent="0.2">
      <c r="A369" t="str">
        <f t="shared" si="5"/>
        <v/>
      </c>
      <c r="AC369" s="15"/>
    </row>
    <row r="370" spans="1:29" ht="18" customHeight="1" x14ac:dyDescent="0.2">
      <c r="A370" t="str">
        <f t="shared" si="5"/>
        <v/>
      </c>
      <c r="AC370" s="15"/>
    </row>
    <row r="371" spans="1:29" ht="18" customHeight="1" x14ac:dyDescent="0.2">
      <c r="A371" t="str">
        <f t="shared" si="5"/>
        <v/>
      </c>
      <c r="AC371" s="15"/>
    </row>
    <row r="372" spans="1:29" ht="18" customHeight="1" x14ac:dyDescent="0.2">
      <c r="A372" t="str">
        <f t="shared" si="5"/>
        <v/>
      </c>
      <c r="AC372" s="15"/>
    </row>
    <row r="373" spans="1:29" ht="18" customHeight="1" x14ac:dyDescent="0.2">
      <c r="A373" t="str">
        <f t="shared" si="5"/>
        <v/>
      </c>
      <c r="AC373" s="15"/>
    </row>
    <row r="374" spans="1:29" ht="18" customHeight="1" x14ac:dyDescent="0.2">
      <c r="A374" t="str">
        <f t="shared" si="5"/>
        <v/>
      </c>
      <c r="AC374" s="15"/>
    </row>
    <row r="375" spans="1:29" ht="18" customHeight="1" x14ac:dyDescent="0.2">
      <c r="A375" t="str">
        <f t="shared" si="5"/>
        <v/>
      </c>
      <c r="AC375" s="15"/>
    </row>
    <row r="376" spans="1:29" ht="18" customHeight="1" x14ac:dyDescent="0.2">
      <c r="A376" t="str">
        <f t="shared" si="5"/>
        <v/>
      </c>
      <c r="AC376" s="15"/>
    </row>
    <row r="377" spans="1:29" ht="18" customHeight="1" x14ac:dyDescent="0.2">
      <c r="A377" t="str">
        <f t="shared" si="5"/>
        <v/>
      </c>
      <c r="AC377" s="15"/>
    </row>
    <row r="378" spans="1:29" ht="18" customHeight="1" x14ac:dyDescent="0.2">
      <c r="A378" t="str">
        <f t="shared" si="5"/>
        <v/>
      </c>
      <c r="AC378" s="15"/>
    </row>
    <row r="379" spans="1:29" ht="18" customHeight="1" x14ac:dyDescent="0.2">
      <c r="A379" t="str">
        <f t="shared" si="5"/>
        <v/>
      </c>
      <c r="AC379" s="15"/>
    </row>
    <row r="380" spans="1:29" ht="18" customHeight="1" x14ac:dyDescent="0.2">
      <c r="A380" t="str">
        <f t="shared" si="5"/>
        <v/>
      </c>
      <c r="AC380" s="15"/>
    </row>
    <row r="381" spans="1:29" ht="18" customHeight="1" x14ac:dyDescent="0.2">
      <c r="A381" t="str">
        <f t="shared" si="5"/>
        <v/>
      </c>
      <c r="AC381" s="15"/>
    </row>
    <row r="382" spans="1:29" ht="18" customHeight="1" x14ac:dyDescent="0.2">
      <c r="A382" t="str">
        <f t="shared" si="5"/>
        <v/>
      </c>
      <c r="AC382" s="15"/>
    </row>
    <row r="383" spans="1:29" ht="18" customHeight="1" x14ac:dyDescent="0.2">
      <c r="A383" t="str">
        <f t="shared" si="5"/>
        <v/>
      </c>
      <c r="AC383" s="15"/>
    </row>
    <row r="384" spans="1:29" ht="18" customHeight="1" x14ac:dyDescent="0.2">
      <c r="A384" t="str">
        <f t="shared" si="5"/>
        <v/>
      </c>
      <c r="AC384" s="15"/>
    </row>
    <row r="385" spans="1:29" ht="18" customHeight="1" x14ac:dyDescent="0.2">
      <c r="A385" t="str">
        <f t="shared" si="5"/>
        <v/>
      </c>
      <c r="AC385" s="15"/>
    </row>
    <row r="386" spans="1:29" ht="18" customHeight="1" x14ac:dyDescent="0.2">
      <c r="A386" t="str">
        <f t="shared" si="5"/>
        <v/>
      </c>
      <c r="AC386" s="15"/>
    </row>
    <row r="387" spans="1:29" ht="18" customHeight="1" x14ac:dyDescent="0.2">
      <c r="A387" t="str">
        <f t="shared" si="5"/>
        <v/>
      </c>
      <c r="AC387" s="15"/>
    </row>
    <row r="388" spans="1:29" ht="18" customHeight="1" x14ac:dyDescent="0.2">
      <c r="A388" t="str">
        <f t="shared" si="5"/>
        <v/>
      </c>
      <c r="AC388" s="15"/>
    </row>
    <row r="389" spans="1:29" ht="18" customHeight="1" x14ac:dyDescent="0.2">
      <c r="A389" t="str">
        <f t="shared" ref="A389:A452" si="6">IF(C389&lt;&gt;"","HC/"&amp;(ROW()-4),"")</f>
        <v/>
      </c>
      <c r="AC389" s="15"/>
    </row>
    <row r="390" spans="1:29" ht="18" customHeight="1" x14ac:dyDescent="0.2">
      <c r="A390" t="str">
        <f t="shared" si="6"/>
        <v/>
      </c>
      <c r="AC390" s="15"/>
    </row>
    <row r="391" spans="1:29" ht="18" customHeight="1" x14ac:dyDescent="0.2">
      <c r="A391" t="str">
        <f t="shared" si="6"/>
        <v/>
      </c>
      <c r="AC391" s="15"/>
    </row>
    <row r="392" spans="1:29" ht="18" customHeight="1" x14ac:dyDescent="0.2">
      <c r="A392" t="str">
        <f t="shared" si="6"/>
        <v/>
      </c>
      <c r="AC392" s="15"/>
    </row>
    <row r="393" spans="1:29" ht="18" customHeight="1" x14ac:dyDescent="0.2">
      <c r="A393" t="str">
        <f t="shared" si="6"/>
        <v/>
      </c>
      <c r="AC393" s="15"/>
    </row>
    <row r="394" spans="1:29" ht="18" customHeight="1" x14ac:dyDescent="0.2">
      <c r="A394" t="str">
        <f t="shared" si="6"/>
        <v/>
      </c>
      <c r="AC394" s="15"/>
    </row>
    <row r="395" spans="1:29" ht="18" customHeight="1" x14ac:dyDescent="0.2">
      <c r="A395" t="str">
        <f t="shared" si="6"/>
        <v/>
      </c>
      <c r="AC395" s="15"/>
    </row>
    <row r="396" spans="1:29" ht="18" customHeight="1" x14ac:dyDescent="0.2">
      <c r="A396" t="str">
        <f t="shared" si="6"/>
        <v/>
      </c>
      <c r="AC396" s="15"/>
    </row>
    <row r="397" spans="1:29" ht="18" customHeight="1" x14ac:dyDescent="0.2">
      <c r="A397" t="str">
        <f t="shared" si="6"/>
        <v/>
      </c>
      <c r="AC397" s="15"/>
    </row>
    <row r="398" spans="1:29" ht="18" customHeight="1" x14ac:dyDescent="0.2">
      <c r="A398" t="str">
        <f t="shared" si="6"/>
        <v/>
      </c>
      <c r="AC398" s="15"/>
    </row>
    <row r="399" spans="1:29" ht="18" customHeight="1" x14ac:dyDescent="0.2">
      <c r="A399" t="str">
        <f t="shared" si="6"/>
        <v/>
      </c>
      <c r="AC399" s="15"/>
    </row>
    <row r="400" spans="1:29" ht="18" customHeight="1" x14ac:dyDescent="0.2">
      <c r="A400" t="str">
        <f t="shared" si="6"/>
        <v/>
      </c>
      <c r="AC400" s="15"/>
    </row>
    <row r="401" spans="1:29" ht="18" customHeight="1" x14ac:dyDescent="0.2">
      <c r="A401" t="str">
        <f t="shared" si="6"/>
        <v/>
      </c>
      <c r="AC401" s="15"/>
    </row>
    <row r="402" spans="1:29" ht="18" customHeight="1" x14ac:dyDescent="0.2">
      <c r="A402" t="str">
        <f t="shared" si="6"/>
        <v/>
      </c>
      <c r="AC402" s="15"/>
    </row>
    <row r="403" spans="1:29" ht="18" customHeight="1" x14ac:dyDescent="0.2">
      <c r="A403" t="str">
        <f t="shared" si="6"/>
        <v/>
      </c>
      <c r="AC403" s="15"/>
    </row>
    <row r="404" spans="1:29" ht="18" customHeight="1" x14ac:dyDescent="0.2">
      <c r="A404" t="str">
        <f t="shared" si="6"/>
        <v/>
      </c>
      <c r="AC404" s="15"/>
    </row>
    <row r="405" spans="1:29" ht="18" customHeight="1" x14ac:dyDescent="0.2">
      <c r="A405" t="str">
        <f t="shared" si="6"/>
        <v/>
      </c>
      <c r="AC405" s="15"/>
    </row>
    <row r="406" spans="1:29" ht="18" customHeight="1" x14ac:dyDescent="0.2">
      <c r="A406" t="str">
        <f t="shared" si="6"/>
        <v/>
      </c>
      <c r="AC406" s="15"/>
    </row>
    <row r="407" spans="1:29" ht="18" customHeight="1" x14ac:dyDescent="0.2">
      <c r="A407" t="str">
        <f t="shared" si="6"/>
        <v/>
      </c>
      <c r="AC407" s="15"/>
    </row>
    <row r="408" spans="1:29" ht="18" customHeight="1" x14ac:dyDescent="0.2">
      <c r="A408" t="str">
        <f t="shared" si="6"/>
        <v/>
      </c>
      <c r="AC408" s="15"/>
    </row>
    <row r="409" spans="1:29" ht="18" customHeight="1" x14ac:dyDescent="0.2">
      <c r="A409" t="str">
        <f t="shared" si="6"/>
        <v/>
      </c>
      <c r="AC409" s="15"/>
    </row>
    <row r="410" spans="1:29" ht="18" customHeight="1" x14ac:dyDescent="0.2">
      <c r="A410" t="str">
        <f t="shared" si="6"/>
        <v/>
      </c>
      <c r="AC410" s="15"/>
    </row>
    <row r="411" spans="1:29" ht="18" customHeight="1" x14ac:dyDescent="0.2">
      <c r="A411" t="str">
        <f t="shared" si="6"/>
        <v/>
      </c>
      <c r="AC411" s="15"/>
    </row>
    <row r="412" spans="1:29" ht="18" customHeight="1" x14ac:dyDescent="0.2">
      <c r="A412" t="str">
        <f t="shared" si="6"/>
        <v/>
      </c>
      <c r="AC412" s="15"/>
    </row>
    <row r="413" spans="1:29" ht="18" customHeight="1" x14ac:dyDescent="0.2">
      <c r="A413" t="str">
        <f t="shared" si="6"/>
        <v/>
      </c>
      <c r="AC413" s="15"/>
    </row>
    <row r="414" spans="1:29" ht="18" customHeight="1" x14ac:dyDescent="0.2">
      <c r="A414" t="str">
        <f t="shared" si="6"/>
        <v/>
      </c>
      <c r="AC414" s="15"/>
    </row>
    <row r="415" spans="1:29" ht="18" customHeight="1" x14ac:dyDescent="0.2">
      <c r="A415" t="str">
        <f t="shared" si="6"/>
        <v/>
      </c>
      <c r="AC415" s="15"/>
    </row>
    <row r="416" spans="1:29" ht="18" customHeight="1" x14ac:dyDescent="0.2">
      <c r="A416" t="str">
        <f t="shared" si="6"/>
        <v/>
      </c>
      <c r="AC416" s="15"/>
    </row>
    <row r="417" spans="1:29" ht="18" customHeight="1" x14ac:dyDescent="0.2">
      <c r="A417" t="str">
        <f t="shared" si="6"/>
        <v/>
      </c>
      <c r="AC417" s="15"/>
    </row>
    <row r="418" spans="1:29" ht="18" customHeight="1" x14ac:dyDescent="0.2">
      <c r="A418" t="str">
        <f t="shared" si="6"/>
        <v/>
      </c>
      <c r="AC418" s="15"/>
    </row>
    <row r="419" spans="1:29" ht="18" customHeight="1" x14ac:dyDescent="0.2">
      <c r="A419" t="str">
        <f t="shared" si="6"/>
        <v/>
      </c>
      <c r="AC419" s="15"/>
    </row>
    <row r="420" spans="1:29" ht="18" customHeight="1" x14ac:dyDescent="0.2">
      <c r="A420" t="str">
        <f t="shared" si="6"/>
        <v/>
      </c>
      <c r="AC420" s="15"/>
    </row>
    <row r="421" spans="1:29" ht="18" customHeight="1" x14ac:dyDescent="0.2">
      <c r="A421" t="str">
        <f t="shared" si="6"/>
        <v/>
      </c>
      <c r="AC421" s="15"/>
    </row>
    <row r="422" spans="1:29" ht="18" customHeight="1" x14ac:dyDescent="0.2">
      <c r="A422" t="str">
        <f t="shared" si="6"/>
        <v/>
      </c>
      <c r="AC422" s="15"/>
    </row>
    <row r="423" spans="1:29" ht="18" customHeight="1" x14ac:dyDescent="0.2">
      <c r="A423" t="str">
        <f t="shared" si="6"/>
        <v/>
      </c>
      <c r="AC423" s="15"/>
    </row>
    <row r="424" spans="1:29" ht="18" customHeight="1" x14ac:dyDescent="0.2">
      <c r="A424" t="str">
        <f t="shared" si="6"/>
        <v/>
      </c>
      <c r="AC424" s="15"/>
    </row>
    <row r="425" spans="1:29" ht="18" customHeight="1" x14ac:dyDescent="0.2">
      <c r="A425" t="str">
        <f t="shared" si="6"/>
        <v/>
      </c>
      <c r="AC425" s="15"/>
    </row>
    <row r="426" spans="1:29" ht="18" customHeight="1" x14ac:dyDescent="0.2">
      <c r="A426" t="str">
        <f t="shared" si="6"/>
        <v/>
      </c>
      <c r="AC426" s="15"/>
    </row>
    <row r="427" spans="1:29" ht="18" customHeight="1" x14ac:dyDescent="0.2">
      <c r="A427" t="str">
        <f t="shared" si="6"/>
        <v/>
      </c>
      <c r="AC427" s="15"/>
    </row>
    <row r="428" spans="1:29" ht="18" customHeight="1" x14ac:dyDescent="0.2">
      <c r="A428" t="str">
        <f t="shared" si="6"/>
        <v/>
      </c>
      <c r="AC428" s="15"/>
    </row>
    <row r="429" spans="1:29" ht="18" customHeight="1" x14ac:dyDescent="0.2">
      <c r="A429" t="str">
        <f t="shared" si="6"/>
        <v/>
      </c>
      <c r="AC429" s="15"/>
    </row>
    <row r="430" spans="1:29" ht="18" customHeight="1" x14ac:dyDescent="0.2">
      <c r="A430" t="str">
        <f t="shared" si="6"/>
        <v/>
      </c>
      <c r="AC430" s="15"/>
    </row>
    <row r="431" spans="1:29" ht="18" customHeight="1" x14ac:dyDescent="0.2">
      <c r="A431" t="str">
        <f t="shared" si="6"/>
        <v/>
      </c>
      <c r="AC431" s="15"/>
    </row>
    <row r="432" spans="1:29" ht="18" customHeight="1" x14ac:dyDescent="0.2">
      <c r="A432" t="str">
        <f t="shared" si="6"/>
        <v/>
      </c>
      <c r="AC432" s="15"/>
    </row>
    <row r="433" spans="1:29" ht="18" customHeight="1" x14ac:dyDescent="0.2">
      <c r="A433" t="str">
        <f t="shared" si="6"/>
        <v/>
      </c>
      <c r="AC433" s="15"/>
    </row>
    <row r="434" spans="1:29" ht="18" customHeight="1" x14ac:dyDescent="0.2">
      <c r="A434" t="str">
        <f t="shared" si="6"/>
        <v/>
      </c>
      <c r="AC434" s="15"/>
    </row>
    <row r="435" spans="1:29" ht="18" customHeight="1" x14ac:dyDescent="0.2">
      <c r="A435" t="str">
        <f t="shared" si="6"/>
        <v/>
      </c>
      <c r="AC435" s="15"/>
    </row>
    <row r="436" spans="1:29" ht="18" customHeight="1" x14ac:dyDescent="0.2">
      <c r="A436" t="str">
        <f t="shared" si="6"/>
        <v/>
      </c>
      <c r="AC436" s="15"/>
    </row>
    <row r="437" spans="1:29" ht="18" customHeight="1" x14ac:dyDescent="0.2">
      <c r="A437" t="str">
        <f t="shared" si="6"/>
        <v/>
      </c>
      <c r="AC437" s="15"/>
    </row>
    <row r="438" spans="1:29" ht="18" customHeight="1" x14ac:dyDescent="0.2">
      <c r="A438" t="str">
        <f t="shared" si="6"/>
        <v/>
      </c>
      <c r="AC438" s="15"/>
    </row>
    <row r="439" spans="1:29" ht="18" customHeight="1" x14ac:dyDescent="0.2">
      <c r="A439" t="str">
        <f t="shared" si="6"/>
        <v/>
      </c>
      <c r="AC439" s="15"/>
    </row>
    <row r="440" spans="1:29" ht="18" customHeight="1" x14ac:dyDescent="0.2">
      <c r="A440" t="str">
        <f t="shared" si="6"/>
        <v/>
      </c>
      <c r="AC440" s="15"/>
    </row>
    <row r="441" spans="1:29" ht="18" customHeight="1" x14ac:dyDescent="0.2">
      <c r="A441" t="str">
        <f t="shared" si="6"/>
        <v/>
      </c>
      <c r="AC441" s="15"/>
    </row>
    <row r="442" spans="1:29" ht="18" customHeight="1" x14ac:dyDescent="0.2">
      <c r="A442" t="str">
        <f t="shared" si="6"/>
        <v/>
      </c>
      <c r="AC442" s="15"/>
    </row>
    <row r="443" spans="1:29" ht="18" customHeight="1" x14ac:dyDescent="0.2">
      <c r="A443" t="str">
        <f t="shared" si="6"/>
        <v/>
      </c>
      <c r="AC443" s="15"/>
    </row>
    <row r="444" spans="1:29" ht="18" customHeight="1" x14ac:dyDescent="0.2">
      <c r="A444" t="str">
        <f t="shared" si="6"/>
        <v/>
      </c>
      <c r="AC444" s="15"/>
    </row>
    <row r="445" spans="1:29" ht="18" customHeight="1" x14ac:dyDescent="0.2">
      <c r="A445" t="str">
        <f t="shared" si="6"/>
        <v/>
      </c>
      <c r="AC445" s="15"/>
    </row>
    <row r="446" spans="1:29" ht="18" customHeight="1" x14ac:dyDescent="0.2">
      <c r="A446" t="str">
        <f t="shared" si="6"/>
        <v/>
      </c>
      <c r="AC446" s="15"/>
    </row>
    <row r="447" spans="1:29" ht="18" customHeight="1" x14ac:dyDescent="0.2">
      <c r="A447" t="str">
        <f t="shared" si="6"/>
        <v/>
      </c>
      <c r="AC447" s="15"/>
    </row>
    <row r="448" spans="1:29" ht="18" customHeight="1" x14ac:dyDescent="0.2">
      <c r="A448" t="str">
        <f t="shared" si="6"/>
        <v/>
      </c>
      <c r="AC448" s="15"/>
    </row>
    <row r="449" spans="1:29" ht="18" customHeight="1" x14ac:dyDescent="0.2">
      <c r="A449" t="str">
        <f t="shared" si="6"/>
        <v/>
      </c>
      <c r="AC449" s="15"/>
    </row>
    <row r="450" spans="1:29" ht="18" customHeight="1" x14ac:dyDescent="0.2">
      <c r="A450" t="str">
        <f t="shared" si="6"/>
        <v/>
      </c>
      <c r="AC450" s="15"/>
    </row>
    <row r="451" spans="1:29" ht="18" customHeight="1" x14ac:dyDescent="0.2">
      <c r="A451" t="str">
        <f t="shared" si="6"/>
        <v/>
      </c>
      <c r="AC451" s="15"/>
    </row>
    <row r="452" spans="1:29" ht="18" customHeight="1" x14ac:dyDescent="0.2">
      <c r="A452" t="str">
        <f t="shared" si="6"/>
        <v/>
      </c>
      <c r="AC452" s="15"/>
    </row>
    <row r="453" spans="1:29" ht="18" customHeight="1" x14ac:dyDescent="0.2">
      <c r="A453" t="str">
        <f t="shared" ref="A453:A516" si="7">IF(C453&lt;&gt;"","HC/"&amp;(ROW()-4),"")</f>
        <v/>
      </c>
      <c r="AC453" s="15"/>
    </row>
    <row r="454" spans="1:29" ht="18" customHeight="1" x14ac:dyDescent="0.2">
      <c r="A454" t="str">
        <f t="shared" si="7"/>
        <v/>
      </c>
      <c r="AC454" s="15"/>
    </row>
    <row r="455" spans="1:29" ht="18" customHeight="1" x14ac:dyDescent="0.2">
      <c r="A455" t="str">
        <f t="shared" si="7"/>
        <v/>
      </c>
      <c r="AC455" s="15"/>
    </row>
    <row r="456" spans="1:29" ht="18" customHeight="1" x14ac:dyDescent="0.2">
      <c r="A456" t="str">
        <f t="shared" si="7"/>
        <v/>
      </c>
      <c r="AC456" s="15"/>
    </row>
    <row r="457" spans="1:29" ht="18" customHeight="1" x14ac:dyDescent="0.2">
      <c r="A457" t="str">
        <f t="shared" si="7"/>
        <v/>
      </c>
      <c r="AC457" s="15"/>
    </row>
    <row r="458" spans="1:29" ht="18" customHeight="1" x14ac:dyDescent="0.2">
      <c r="A458" t="str">
        <f t="shared" si="7"/>
        <v/>
      </c>
      <c r="AC458" s="15"/>
    </row>
    <row r="459" spans="1:29" ht="18" customHeight="1" x14ac:dyDescent="0.2">
      <c r="A459" t="str">
        <f t="shared" si="7"/>
        <v/>
      </c>
      <c r="AC459" s="15"/>
    </row>
    <row r="460" spans="1:29" ht="18" customHeight="1" x14ac:dyDescent="0.2">
      <c r="A460" t="str">
        <f t="shared" si="7"/>
        <v/>
      </c>
      <c r="AC460" s="15"/>
    </row>
    <row r="461" spans="1:29" ht="18" customHeight="1" x14ac:dyDescent="0.2">
      <c r="A461" t="str">
        <f t="shared" si="7"/>
        <v/>
      </c>
      <c r="AC461" s="15"/>
    </row>
    <row r="462" spans="1:29" ht="18" customHeight="1" x14ac:dyDescent="0.2">
      <c r="A462" t="str">
        <f t="shared" si="7"/>
        <v/>
      </c>
      <c r="AC462" s="15"/>
    </row>
    <row r="463" spans="1:29" ht="18" customHeight="1" x14ac:dyDescent="0.2">
      <c r="A463" t="str">
        <f t="shared" si="7"/>
        <v/>
      </c>
      <c r="AC463" s="15"/>
    </row>
    <row r="464" spans="1:29" ht="18" customHeight="1" x14ac:dyDescent="0.2">
      <c r="A464" t="str">
        <f t="shared" si="7"/>
        <v/>
      </c>
      <c r="AC464" s="15"/>
    </row>
    <row r="465" spans="1:29" ht="18" customHeight="1" x14ac:dyDescent="0.2">
      <c r="A465" t="str">
        <f t="shared" si="7"/>
        <v/>
      </c>
      <c r="AC465" s="15"/>
    </row>
    <row r="466" spans="1:29" ht="18" customHeight="1" x14ac:dyDescent="0.2">
      <c r="A466" t="str">
        <f t="shared" si="7"/>
        <v/>
      </c>
      <c r="AC466" s="15"/>
    </row>
    <row r="467" spans="1:29" ht="18" customHeight="1" x14ac:dyDescent="0.2">
      <c r="A467" t="str">
        <f t="shared" si="7"/>
        <v/>
      </c>
      <c r="AC467" s="15"/>
    </row>
    <row r="468" spans="1:29" ht="18" customHeight="1" x14ac:dyDescent="0.2">
      <c r="A468" t="str">
        <f t="shared" si="7"/>
        <v/>
      </c>
      <c r="AC468" s="15"/>
    </row>
    <row r="469" spans="1:29" ht="18" customHeight="1" x14ac:dyDescent="0.2">
      <c r="A469" t="str">
        <f t="shared" si="7"/>
        <v/>
      </c>
      <c r="AC469" s="15"/>
    </row>
    <row r="470" spans="1:29" ht="18" customHeight="1" x14ac:dyDescent="0.2">
      <c r="A470" t="str">
        <f t="shared" si="7"/>
        <v/>
      </c>
      <c r="AC470" s="15"/>
    </row>
    <row r="471" spans="1:29" ht="18" customHeight="1" x14ac:dyDescent="0.2">
      <c r="A471" t="str">
        <f t="shared" si="7"/>
        <v/>
      </c>
      <c r="AC471" s="15"/>
    </row>
    <row r="472" spans="1:29" ht="18" customHeight="1" x14ac:dyDescent="0.2">
      <c r="A472" t="str">
        <f t="shared" si="7"/>
        <v/>
      </c>
      <c r="AC472" s="15"/>
    </row>
    <row r="473" spans="1:29" ht="18" customHeight="1" x14ac:dyDescent="0.2">
      <c r="A473" t="str">
        <f t="shared" si="7"/>
        <v/>
      </c>
      <c r="AC473" s="15"/>
    </row>
    <row r="474" spans="1:29" ht="18" customHeight="1" x14ac:dyDescent="0.2">
      <c r="A474" t="str">
        <f t="shared" si="7"/>
        <v/>
      </c>
      <c r="AC474" s="15"/>
    </row>
    <row r="475" spans="1:29" ht="18" customHeight="1" x14ac:dyDescent="0.2">
      <c r="A475" t="str">
        <f t="shared" si="7"/>
        <v/>
      </c>
      <c r="AC475" s="15"/>
    </row>
    <row r="476" spans="1:29" ht="18" customHeight="1" x14ac:dyDescent="0.2">
      <c r="A476" t="str">
        <f t="shared" si="7"/>
        <v/>
      </c>
      <c r="AC476" s="15"/>
    </row>
    <row r="477" spans="1:29" ht="18" customHeight="1" x14ac:dyDescent="0.2">
      <c r="A477" t="str">
        <f t="shared" si="7"/>
        <v/>
      </c>
      <c r="AC477" s="15"/>
    </row>
    <row r="478" spans="1:29" ht="18" customHeight="1" x14ac:dyDescent="0.2">
      <c r="A478" t="str">
        <f t="shared" si="7"/>
        <v/>
      </c>
      <c r="AC478" s="15"/>
    </row>
    <row r="479" spans="1:29" ht="18" customHeight="1" x14ac:dyDescent="0.2">
      <c r="A479" t="str">
        <f t="shared" si="7"/>
        <v/>
      </c>
      <c r="AC479" s="15"/>
    </row>
    <row r="480" spans="1:29" ht="18" customHeight="1" x14ac:dyDescent="0.2">
      <c r="A480" t="str">
        <f t="shared" si="7"/>
        <v/>
      </c>
      <c r="AC480" s="15"/>
    </row>
    <row r="481" spans="1:29" ht="18" customHeight="1" x14ac:dyDescent="0.2">
      <c r="A481" t="str">
        <f t="shared" si="7"/>
        <v/>
      </c>
      <c r="AC481" s="15"/>
    </row>
    <row r="482" spans="1:29" ht="18" customHeight="1" x14ac:dyDescent="0.2">
      <c r="A482" t="str">
        <f t="shared" si="7"/>
        <v/>
      </c>
      <c r="AC482" s="15"/>
    </row>
    <row r="483" spans="1:29" ht="18" customHeight="1" x14ac:dyDescent="0.2">
      <c r="A483" t="str">
        <f t="shared" si="7"/>
        <v/>
      </c>
      <c r="AC483" s="15"/>
    </row>
    <row r="484" spans="1:29" ht="18" customHeight="1" x14ac:dyDescent="0.2">
      <c r="A484" t="str">
        <f t="shared" si="7"/>
        <v/>
      </c>
      <c r="AC484" s="15"/>
    </row>
    <row r="485" spans="1:29" ht="18" customHeight="1" x14ac:dyDescent="0.2">
      <c r="A485" t="str">
        <f t="shared" si="7"/>
        <v/>
      </c>
      <c r="AC485" s="15"/>
    </row>
    <row r="486" spans="1:29" ht="18" customHeight="1" x14ac:dyDescent="0.2">
      <c r="A486" t="str">
        <f t="shared" si="7"/>
        <v/>
      </c>
      <c r="AC486" s="15"/>
    </row>
    <row r="487" spans="1:29" ht="18" customHeight="1" x14ac:dyDescent="0.2">
      <c r="A487" t="str">
        <f t="shared" si="7"/>
        <v/>
      </c>
      <c r="AC487" s="15"/>
    </row>
    <row r="488" spans="1:29" ht="18" customHeight="1" x14ac:dyDescent="0.2">
      <c r="A488" t="str">
        <f t="shared" si="7"/>
        <v/>
      </c>
      <c r="AC488" s="15"/>
    </row>
    <row r="489" spans="1:29" ht="18" customHeight="1" x14ac:dyDescent="0.2">
      <c r="A489" t="str">
        <f t="shared" si="7"/>
        <v/>
      </c>
      <c r="AC489" s="15"/>
    </row>
    <row r="490" spans="1:29" ht="18" customHeight="1" x14ac:dyDescent="0.2">
      <c r="A490" t="str">
        <f t="shared" si="7"/>
        <v/>
      </c>
      <c r="AC490" s="15"/>
    </row>
    <row r="491" spans="1:29" ht="18" customHeight="1" x14ac:dyDescent="0.2">
      <c r="A491" t="str">
        <f t="shared" si="7"/>
        <v/>
      </c>
      <c r="AC491" s="15"/>
    </row>
    <row r="492" spans="1:29" ht="18" customHeight="1" x14ac:dyDescent="0.2">
      <c r="A492" t="str">
        <f t="shared" si="7"/>
        <v/>
      </c>
      <c r="AC492" s="15"/>
    </row>
    <row r="493" spans="1:29" ht="18" customHeight="1" x14ac:dyDescent="0.2">
      <c r="A493" t="str">
        <f t="shared" si="7"/>
        <v/>
      </c>
      <c r="AC493" s="15"/>
    </row>
    <row r="494" spans="1:29" ht="18" customHeight="1" x14ac:dyDescent="0.2">
      <c r="A494" t="str">
        <f t="shared" si="7"/>
        <v/>
      </c>
      <c r="AC494" s="15"/>
    </row>
    <row r="495" spans="1:29" ht="18" customHeight="1" x14ac:dyDescent="0.2">
      <c r="A495" t="str">
        <f t="shared" si="7"/>
        <v/>
      </c>
      <c r="AC495" s="15"/>
    </row>
    <row r="496" spans="1:29" ht="18" customHeight="1" x14ac:dyDescent="0.2">
      <c r="A496" t="str">
        <f t="shared" si="7"/>
        <v/>
      </c>
      <c r="AC496" s="15"/>
    </row>
    <row r="497" spans="1:29" ht="18" customHeight="1" x14ac:dyDescent="0.2">
      <c r="A497" t="str">
        <f t="shared" si="7"/>
        <v/>
      </c>
      <c r="AC497" s="15"/>
    </row>
    <row r="498" spans="1:29" ht="18" customHeight="1" x14ac:dyDescent="0.2">
      <c r="A498" t="str">
        <f t="shared" si="7"/>
        <v/>
      </c>
      <c r="AC498" s="15"/>
    </row>
    <row r="499" spans="1:29" ht="18" customHeight="1" x14ac:dyDescent="0.2">
      <c r="A499" t="str">
        <f t="shared" si="7"/>
        <v/>
      </c>
      <c r="AC499" s="15"/>
    </row>
    <row r="500" spans="1:29" ht="18" customHeight="1" x14ac:dyDescent="0.2">
      <c r="A500" t="str">
        <f t="shared" si="7"/>
        <v/>
      </c>
      <c r="AC500" s="15"/>
    </row>
    <row r="501" spans="1:29" ht="18" customHeight="1" x14ac:dyDescent="0.2">
      <c r="A501" t="str">
        <f t="shared" si="7"/>
        <v/>
      </c>
      <c r="AC501" s="15"/>
    </row>
    <row r="502" spans="1:29" ht="18" customHeight="1" x14ac:dyDescent="0.2">
      <c r="A502" t="str">
        <f t="shared" si="7"/>
        <v/>
      </c>
      <c r="AC502" s="15"/>
    </row>
    <row r="503" spans="1:29" ht="18" customHeight="1" x14ac:dyDescent="0.2">
      <c r="A503" t="str">
        <f t="shared" si="7"/>
        <v/>
      </c>
      <c r="AC503" s="15"/>
    </row>
    <row r="504" spans="1:29" ht="18" customHeight="1" x14ac:dyDescent="0.2">
      <c r="A504" t="str">
        <f t="shared" si="7"/>
        <v/>
      </c>
      <c r="AC504" s="15"/>
    </row>
    <row r="505" spans="1:29" ht="18" customHeight="1" x14ac:dyDescent="0.2">
      <c r="A505" t="str">
        <f t="shared" si="7"/>
        <v/>
      </c>
      <c r="AC505" s="15"/>
    </row>
    <row r="506" spans="1:29" ht="18" customHeight="1" x14ac:dyDescent="0.2">
      <c r="A506" t="str">
        <f t="shared" si="7"/>
        <v/>
      </c>
      <c r="AC506" s="15"/>
    </row>
    <row r="507" spans="1:29" ht="18" customHeight="1" x14ac:dyDescent="0.2">
      <c r="A507" t="str">
        <f t="shared" si="7"/>
        <v/>
      </c>
      <c r="AC507" s="15"/>
    </row>
    <row r="508" spans="1:29" ht="18" customHeight="1" x14ac:dyDescent="0.2">
      <c r="A508" t="str">
        <f t="shared" si="7"/>
        <v/>
      </c>
      <c r="AC508" s="15"/>
    </row>
    <row r="509" spans="1:29" ht="18" customHeight="1" x14ac:dyDescent="0.2">
      <c r="A509" t="str">
        <f t="shared" si="7"/>
        <v/>
      </c>
      <c r="AC509" s="15"/>
    </row>
    <row r="510" spans="1:29" ht="18" customHeight="1" x14ac:dyDescent="0.2">
      <c r="A510" t="str">
        <f t="shared" si="7"/>
        <v/>
      </c>
      <c r="AC510" s="15"/>
    </row>
    <row r="511" spans="1:29" ht="18" customHeight="1" x14ac:dyDescent="0.2">
      <c r="A511" t="str">
        <f t="shared" si="7"/>
        <v/>
      </c>
      <c r="AC511" s="15"/>
    </row>
    <row r="512" spans="1:29" ht="18" customHeight="1" x14ac:dyDescent="0.2">
      <c r="A512" t="str">
        <f t="shared" si="7"/>
        <v/>
      </c>
      <c r="AC512" s="15"/>
    </row>
    <row r="513" spans="1:29" ht="18" customHeight="1" x14ac:dyDescent="0.2">
      <c r="A513" t="str">
        <f t="shared" si="7"/>
        <v/>
      </c>
      <c r="AC513" s="15"/>
    </row>
    <row r="514" spans="1:29" ht="18" customHeight="1" x14ac:dyDescent="0.2">
      <c r="A514" t="str">
        <f t="shared" si="7"/>
        <v/>
      </c>
      <c r="AC514" s="15"/>
    </row>
    <row r="515" spans="1:29" ht="18" customHeight="1" x14ac:dyDescent="0.2">
      <c r="A515" t="str">
        <f t="shared" si="7"/>
        <v/>
      </c>
      <c r="AC515" s="15"/>
    </row>
    <row r="516" spans="1:29" ht="18" customHeight="1" x14ac:dyDescent="0.2">
      <c r="A516" t="str">
        <f t="shared" si="7"/>
        <v/>
      </c>
      <c r="AC516" s="15"/>
    </row>
    <row r="517" spans="1:29" ht="18" customHeight="1" x14ac:dyDescent="0.2">
      <c r="A517" t="str">
        <f t="shared" ref="A517:A580" si="8">IF(C517&lt;&gt;"","HC/"&amp;(ROW()-4),"")</f>
        <v/>
      </c>
      <c r="AC517" s="15"/>
    </row>
    <row r="518" spans="1:29" ht="18" customHeight="1" x14ac:dyDescent="0.2">
      <c r="A518" t="str">
        <f t="shared" si="8"/>
        <v/>
      </c>
      <c r="AC518" s="15"/>
    </row>
    <row r="519" spans="1:29" ht="18" customHeight="1" x14ac:dyDescent="0.2">
      <c r="A519" t="str">
        <f t="shared" si="8"/>
        <v/>
      </c>
      <c r="AC519" s="15"/>
    </row>
    <row r="520" spans="1:29" ht="18" customHeight="1" x14ac:dyDescent="0.2">
      <c r="A520" t="str">
        <f t="shared" si="8"/>
        <v/>
      </c>
      <c r="AC520" s="15"/>
    </row>
    <row r="521" spans="1:29" ht="18" customHeight="1" x14ac:dyDescent="0.2">
      <c r="A521" t="str">
        <f t="shared" si="8"/>
        <v/>
      </c>
      <c r="AC521" s="15"/>
    </row>
    <row r="522" spans="1:29" ht="18" customHeight="1" x14ac:dyDescent="0.2">
      <c r="A522" t="str">
        <f t="shared" si="8"/>
        <v/>
      </c>
      <c r="AC522" s="15"/>
    </row>
    <row r="523" spans="1:29" ht="18" customHeight="1" x14ac:dyDescent="0.2">
      <c r="A523" t="str">
        <f t="shared" si="8"/>
        <v/>
      </c>
      <c r="AC523" s="15"/>
    </row>
    <row r="524" spans="1:29" ht="18" customHeight="1" x14ac:dyDescent="0.2">
      <c r="A524" t="str">
        <f t="shared" si="8"/>
        <v/>
      </c>
      <c r="AC524" s="15"/>
    </row>
    <row r="525" spans="1:29" ht="18" customHeight="1" x14ac:dyDescent="0.2">
      <c r="A525" t="str">
        <f t="shared" si="8"/>
        <v/>
      </c>
      <c r="AC525" s="15"/>
    </row>
    <row r="526" spans="1:29" ht="18" customHeight="1" x14ac:dyDescent="0.2">
      <c r="A526" t="str">
        <f t="shared" si="8"/>
        <v/>
      </c>
      <c r="AC526" s="15"/>
    </row>
    <row r="527" spans="1:29" ht="18" customHeight="1" x14ac:dyDescent="0.2">
      <c r="A527" t="str">
        <f t="shared" si="8"/>
        <v/>
      </c>
      <c r="AC527" s="15"/>
    </row>
    <row r="528" spans="1:29" ht="18" customHeight="1" x14ac:dyDescent="0.2">
      <c r="A528" t="str">
        <f t="shared" si="8"/>
        <v/>
      </c>
      <c r="AC528" s="15"/>
    </row>
    <row r="529" spans="1:29" ht="18" customHeight="1" x14ac:dyDescent="0.2">
      <c r="A529" t="str">
        <f t="shared" si="8"/>
        <v/>
      </c>
      <c r="AC529" s="15"/>
    </row>
    <row r="530" spans="1:29" ht="18" customHeight="1" x14ac:dyDescent="0.2">
      <c r="A530" t="str">
        <f t="shared" si="8"/>
        <v/>
      </c>
      <c r="AC530" s="15"/>
    </row>
    <row r="531" spans="1:29" ht="18" customHeight="1" x14ac:dyDescent="0.2">
      <c r="A531" t="str">
        <f t="shared" si="8"/>
        <v/>
      </c>
      <c r="AC531" s="15"/>
    </row>
    <row r="532" spans="1:29" ht="18" customHeight="1" x14ac:dyDescent="0.2">
      <c r="A532" t="str">
        <f t="shared" si="8"/>
        <v/>
      </c>
      <c r="AC532" s="15"/>
    </row>
    <row r="533" spans="1:29" ht="18" customHeight="1" x14ac:dyDescent="0.2">
      <c r="A533" t="str">
        <f t="shared" si="8"/>
        <v/>
      </c>
      <c r="AC533" s="15"/>
    </row>
    <row r="534" spans="1:29" ht="18" customHeight="1" x14ac:dyDescent="0.2">
      <c r="A534" t="str">
        <f t="shared" si="8"/>
        <v/>
      </c>
      <c r="AC534" s="15"/>
    </row>
    <row r="535" spans="1:29" ht="18" customHeight="1" x14ac:dyDescent="0.2">
      <c r="A535" t="str">
        <f t="shared" si="8"/>
        <v/>
      </c>
      <c r="AC535" s="15"/>
    </row>
    <row r="536" spans="1:29" ht="18" customHeight="1" x14ac:dyDescent="0.2">
      <c r="A536" t="str">
        <f t="shared" si="8"/>
        <v/>
      </c>
      <c r="AC536" s="15"/>
    </row>
    <row r="537" spans="1:29" ht="18" customHeight="1" x14ac:dyDescent="0.2">
      <c r="A537" t="str">
        <f t="shared" si="8"/>
        <v/>
      </c>
      <c r="AC537" s="15"/>
    </row>
    <row r="538" spans="1:29" ht="18" customHeight="1" x14ac:dyDescent="0.2">
      <c r="A538" t="str">
        <f t="shared" si="8"/>
        <v/>
      </c>
      <c r="AC538" s="15"/>
    </row>
    <row r="539" spans="1:29" ht="18" customHeight="1" x14ac:dyDescent="0.2">
      <c r="A539" t="str">
        <f t="shared" si="8"/>
        <v/>
      </c>
      <c r="AC539" s="15"/>
    </row>
    <row r="540" spans="1:29" ht="18" customHeight="1" x14ac:dyDescent="0.2">
      <c r="A540" t="str">
        <f t="shared" si="8"/>
        <v/>
      </c>
      <c r="AC540" s="15"/>
    </row>
    <row r="541" spans="1:29" ht="18" customHeight="1" x14ac:dyDescent="0.2">
      <c r="A541" t="str">
        <f t="shared" si="8"/>
        <v/>
      </c>
      <c r="AC541" s="15"/>
    </row>
    <row r="542" spans="1:29" ht="18" customHeight="1" x14ac:dyDescent="0.2">
      <c r="A542" t="str">
        <f t="shared" si="8"/>
        <v/>
      </c>
      <c r="AC542" s="15"/>
    </row>
    <row r="543" spans="1:29" ht="18" customHeight="1" x14ac:dyDescent="0.2">
      <c r="A543" t="str">
        <f t="shared" si="8"/>
        <v/>
      </c>
      <c r="AC543" s="15"/>
    </row>
    <row r="544" spans="1:29" ht="18" customHeight="1" x14ac:dyDescent="0.2">
      <c r="A544" t="str">
        <f t="shared" si="8"/>
        <v/>
      </c>
      <c r="AC544" s="15"/>
    </row>
    <row r="545" spans="1:29" ht="18" customHeight="1" x14ac:dyDescent="0.2">
      <c r="A545" t="str">
        <f t="shared" si="8"/>
        <v/>
      </c>
      <c r="AC545" s="15"/>
    </row>
    <row r="546" spans="1:29" ht="18" customHeight="1" x14ac:dyDescent="0.2">
      <c r="A546" t="str">
        <f t="shared" si="8"/>
        <v/>
      </c>
      <c r="AC546" s="15"/>
    </row>
    <row r="547" spans="1:29" ht="18" customHeight="1" x14ac:dyDescent="0.2">
      <c r="A547" t="str">
        <f t="shared" si="8"/>
        <v/>
      </c>
      <c r="AC547" s="15"/>
    </row>
    <row r="548" spans="1:29" ht="18" customHeight="1" x14ac:dyDescent="0.2">
      <c r="A548" t="str">
        <f t="shared" si="8"/>
        <v/>
      </c>
      <c r="AC548" s="15"/>
    </row>
    <row r="549" spans="1:29" ht="18" customHeight="1" x14ac:dyDescent="0.2">
      <c r="A549" t="str">
        <f t="shared" si="8"/>
        <v/>
      </c>
      <c r="AC549" s="15"/>
    </row>
    <row r="550" spans="1:29" ht="18" customHeight="1" x14ac:dyDescent="0.2">
      <c r="A550" t="str">
        <f t="shared" si="8"/>
        <v/>
      </c>
      <c r="AC550" s="15"/>
    </row>
    <row r="551" spans="1:29" ht="18" customHeight="1" x14ac:dyDescent="0.2">
      <c r="A551" t="str">
        <f t="shared" si="8"/>
        <v/>
      </c>
      <c r="AC551" s="15"/>
    </row>
    <row r="552" spans="1:29" ht="18" customHeight="1" x14ac:dyDescent="0.2">
      <c r="A552" t="str">
        <f t="shared" si="8"/>
        <v/>
      </c>
      <c r="AC552" s="15"/>
    </row>
    <row r="553" spans="1:29" ht="18" customHeight="1" x14ac:dyDescent="0.2">
      <c r="A553" t="str">
        <f t="shared" si="8"/>
        <v/>
      </c>
      <c r="AC553" s="15"/>
    </row>
    <row r="554" spans="1:29" ht="18" customHeight="1" x14ac:dyDescent="0.2">
      <c r="A554" t="str">
        <f t="shared" si="8"/>
        <v/>
      </c>
      <c r="AC554" s="15"/>
    </row>
    <row r="555" spans="1:29" ht="18" customHeight="1" x14ac:dyDescent="0.2">
      <c r="A555" t="str">
        <f t="shared" si="8"/>
        <v/>
      </c>
      <c r="AC555" s="15"/>
    </row>
    <row r="556" spans="1:29" ht="18" customHeight="1" x14ac:dyDescent="0.2">
      <c r="A556" t="str">
        <f t="shared" si="8"/>
        <v/>
      </c>
      <c r="AC556" s="15"/>
    </row>
    <row r="557" spans="1:29" ht="18" customHeight="1" x14ac:dyDescent="0.2">
      <c r="A557" t="str">
        <f t="shared" si="8"/>
        <v/>
      </c>
      <c r="AC557" s="15"/>
    </row>
    <row r="558" spans="1:29" ht="18" customHeight="1" x14ac:dyDescent="0.2">
      <c r="A558" t="str">
        <f t="shared" si="8"/>
        <v/>
      </c>
      <c r="AC558" s="15"/>
    </row>
    <row r="559" spans="1:29" ht="18" customHeight="1" x14ac:dyDescent="0.2">
      <c r="A559" t="str">
        <f t="shared" si="8"/>
        <v/>
      </c>
      <c r="AC559" s="15"/>
    </row>
    <row r="560" spans="1:29" ht="18" customHeight="1" x14ac:dyDescent="0.2">
      <c r="A560" t="str">
        <f t="shared" si="8"/>
        <v/>
      </c>
      <c r="AC560" s="15"/>
    </row>
    <row r="561" spans="1:29" ht="18" customHeight="1" x14ac:dyDescent="0.2">
      <c r="A561" t="str">
        <f t="shared" si="8"/>
        <v/>
      </c>
      <c r="AC561" s="15"/>
    </row>
    <row r="562" spans="1:29" ht="18" customHeight="1" x14ac:dyDescent="0.2">
      <c r="A562" t="str">
        <f t="shared" si="8"/>
        <v/>
      </c>
      <c r="AC562" s="15"/>
    </row>
    <row r="563" spans="1:29" ht="18" customHeight="1" x14ac:dyDescent="0.2">
      <c r="A563" t="str">
        <f t="shared" si="8"/>
        <v/>
      </c>
      <c r="AC563" s="15"/>
    </row>
    <row r="564" spans="1:29" ht="18" customHeight="1" x14ac:dyDescent="0.2">
      <c r="A564" t="str">
        <f t="shared" si="8"/>
        <v/>
      </c>
      <c r="AC564" s="15"/>
    </row>
    <row r="565" spans="1:29" ht="18" customHeight="1" x14ac:dyDescent="0.2">
      <c r="A565" t="str">
        <f t="shared" si="8"/>
        <v/>
      </c>
      <c r="AC565" s="15"/>
    </row>
    <row r="566" spans="1:29" ht="18" customHeight="1" x14ac:dyDescent="0.2">
      <c r="A566" t="str">
        <f t="shared" si="8"/>
        <v/>
      </c>
      <c r="AC566" s="15"/>
    </row>
    <row r="567" spans="1:29" ht="18" customHeight="1" x14ac:dyDescent="0.2">
      <c r="A567" t="str">
        <f t="shared" si="8"/>
        <v/>
      </c>
      <c r="AC567" s="15"/>
    </row>
    <row r="568" spans="1:29" ht="18" customHeight="1" x14ac:dyDescent="0.2">
      <c r="A568" t="str">
        <f t="shared" si="8"/>
        <v/>
      </c>
      <c r="AC568" s="15"/>
    </row>
    <row r="569" spans="1:29" ht="18" customHeight="1" x14ac:dyDescent="0.2">
      <c r="A569" t="str">
        <f t="shared" si="8"/>
        <v/>
      </c>
      <c r="AC569" s="15"/>
    </row>
    <row r="570" spans="1:29" ht="18" customHeight="1" x14ac:dyDescent="0.2">
      <c r="A570" t="str">
        <f t="shared" si="8"/>
        <v/>
      </c>
      <c r="AC570" s="15"/>
    </row>
    <row r="571" spans="1:29" ht="18" customHeight="1" x14ac:dyDescent="0.2">
      <c r="A571" t="str">
        <f t="shared" si="8"/>
        <v/>
      </c>
      <c r="AC571" s="15"/>
    </row>
    <row r="572" spans="1:29" ht="18" customHeight="1" x14ac:dyDescent="0.2">
      <c r="A572" t="str">
        <f t="shared" si="8"/>
        <v/>
      </c>
      <c r="AC572" s="15"/>
    </row>
    <row r="573" spans="1:29" ht="18" customHeight="1" x14ac:dyDescent="0.2">
      <c r="A573" t="str">
        <f t="shared" si="8"/>
        <v/>
      </c>
      <c r="AC573" s="15"/>
    </row>
    <row r="574" spans="1:29" ht="18" customHeight="1" x14ac:dyDescent="0.2">
      <c r="A574" t="str">
        <f t="shared" si="8"/>
        <v/>
      </c>
      <c r="AC574" s="15"/>
    </row>
    <row r="575" spans="1:29" ht="18" customHeight="1" x14ac:dyDescent="0.2">
      <c r="A575" t="str">
        <f t="shared" si="8"/>
        <v/>
      </c>
      <c r="AC575" s="15"/>
    </row>
    <row r="576" spans="1:29" ht="18" customHeight="1" x14ac:dyDescent="0.2">
      <c r="A576" t="str">
        <f t="shared" si="8"/>
        <v/>
      </c>
      <c r="AC576" s="15"/>
    </row>
    <row r="577" spans="1:29" ht="18" customHeight="1" x14ac:dyDescent="0.2">
      <c r="A577" t="str">
        <f t="shared" si="8"/>
        <v/>
      </c>
      <c r="AC577" s="15"/>
    </row>
    <row r="578" spans="1:29" ht="18" customHeight="1" x14ac:dyDescent="0.2">
      <c r="A578" t="str">
        <f t="shared" si="8"/>
        <v/>
      </c>
      <c r="AC578" s="15"/>
    </row>
    <row r="579" spans="1:29" ht="18" customHeight="1" x14ac:dyDescent="0.2">
      <c r="A579" t="str">
        <f t="shared" si="8"/>
        <v/>
      </c>
      <c r="AC579" s="15"/>
    </row>
    <row r="580" spans="1:29" ht="18" customHeight="1" x14ac:dyDescent="0.2">
      <c r="A580" t="str">
        <f t="shared" si="8"/>
        <v/>
      </c>
      <c r="AC580" s="15"/>
    </row>
    <row r="581" spans="1:29" ht="18" customHeight="1" x14ac:dyDescent="0.2">
      <c r="A581" t="str">
        <f t="shared" ref="A581:A644" si="9">IF(C581&lt;&gt;"","HC/"&amp;(ROW()-4),"")</f>
        <v/>
      </c>
      <c r="AC581" s="15"/>
    </row>
    <row r="582" spans="1:29" ht="18" customHeight="1" x14ac:dyDescent="0.2">
      <c r="A582" t="str">
        <f t="shared" si="9"/>
        <v/>
      </c>
      <c r="AC582" s="15"/>
    </row>
    <row r="583" spans="1:29" ht="18" customHeight="1" x14ac:dyDescent="0.2">
      <c r="A583" t="str">
        <f t="shared" si="9"/>
        <v/>
      </c>
      <c r="AC583" s="15"/>
    </row>
    <row r="584" spans="1:29" ht="18" customHeight="1" x14ac:dyDescent="0.2">
      <c r="A584" t="str">
        <f t="shared" si="9"/>
        <v/>
      </c>
      <c r="AC584" s="15"/>
    </row>
    <row r="585" spans="1:29" ht="18" customHeight="1" x14ac:dyDescent="0.2">
      <c r="A585" t="str">
        <f t="shared" si="9"/>
        <v/>
      </c>
      <c r="AC585" s="15"/>
    </row>
    <row r="586" spans="1:29" ht="18" customHeight="1" x14ac:dyDescent="0.2">
      <c r="A586" t="str">
        <f t="shared" si="9"/>
        <v/>
      </c>
      <c r="AC586" s="15"/>
    </row>
    <row r="587" spans="1:29" ht="18" customHeight="1" x14ac:dyDescent="0.2">
      <c r="A587" t="str">
        <f t="shared" si="9"/>
        <v/>
      </c>
      <c r="AC587" s="15"/>
    </row>
    <row r="588" spans="1:29" ht="18" customHeight="1" x14ac:dyDescent="0.2">
      <c r="A588" t="str">
        <f t="shared" si="9"/>
        <v/>
      </c>
      <c r="AC588" s="15"/>
    </row>
    <row r="589" spans="1:29" ht="18" customHeight="1" x14ac:dyDescent="0.2">
      <c r="A589" t="str">
        <f t="shared" si="9"/>
        <v/>
      </c>
      <c r="AC589" s="15"/>
    </row>
    <row r="590" spans="1:29" ht="18" customHeight="1" x14ac:dyDescent="0.2">
      <c r="A590" t="str">
        <f t="shared" si="9"/>
        <v/>
      </c>
      <c r="AC590" s="15"/>
    </row>
    <row r="591" spans="1:29" ht="18" customHeight="1" x14ac:dyDescent="0.2">
      <c r="A591" t="str">
        <f t="shared" si="9"/>
        <v/>
      </c>
      <c r="AC591" s="15"/>
    </row>
    <row r="592" spans="1:29" ht="18" customHeight="1" x14ac:dyDescent="0.2">
      <c r="A592" t="str">
        <f t="shared" si="9"/>
        <v/>
      </c>
      <c r="AC592" s="15"/>
    </row>
    <row r="593" spans="1:29" ht="18" customHeight="1" x14ac:dyDescent="0.2">
      <c r="A593" t="str">
        <f t="shared" si="9"/>
        <v/>
      </c>
      <c r="AC593" s="15"/>
    </row>
    <row r="594" spans="1:29" ht="18" customHeight="1" x14ac:dyDescent="0.2">
      <c r="A594" t="str">
        <f t="shared" si="9"/>
        <v/>
      </c>
      <c r="AC594" s="15"/>
    </row>
    <row r="595" spans="1:29" ht="18" customHeight="1" x14ac:dyDescent="0.2">
      <c r="A595" t="str">
        <f t="shared" si="9"/>
        <v/>
      </c>
      <c r="AC595" s="15"/>
    </row>
    <row r="596" spans="1:29" ht="18" customHeight="1" x14ac:dyDescent="0.2">
      <c r="A596" t="str">
        <f t="shared" si="9"/>
        <v/>
      </c>
      <c r="AC596" s="15"/>
    </row>
    <row r="597" spans="1:29" ht="18" customHeight="1" x14ac:dyDescent="0.2">
      <c r="A597" t="str">
        <f t="shared" si="9"/>
        <v/>
      </c>
      <c r="AC597" s="15"/>
    </row>
    <row r="598" spans="1:29" ht="18" customHeight="1" x14ac:dyDescent="0.2">
      <c r="A598" t="str">
        <f t="shared" si="9"/>
        <v/>
      </c>
      <c r="AC598" s="15"/>
    </row>
    <row r="599" spans="1:29" ht="18" customHeight="1" x14ac:dyDescent="0.2">
      <c r="A599" t="str">
        <f t="shared" si="9"/>
        <v/>
      </c>
      <c r="AC599" s="15"/>
    </row>
    <row r="600" spans="1:29" ht="18" customHeight="1" x14ac:dyDescent="0.2">
      <c r="A600" t="str">
        <f t="shared" si="9"/>
        <v/>
      </c>
      <c r="AC600" s="15"/>
    </row>
    <row r="601" spans="1:29" ht="18" customHeight="1" x14ac:dyDescent="0.2">
      <c r="A601" t="str">
        <f t="shared" si="9"/>
        <v/>
      </c>
      <c r="AC601" s="15"/>
    </row>
    <row r="602" spans="1:29" ht="18" customHeight="1" x14ac:dyDescent="0.2">
      <c r="A602" t="str">
        <f t="shared" si="9"/>
        <v/>
      </c>
      <c r="AC602" s="15"/>
    </row>
    <row r="603" spans="1:29" ht="18" customHeight="1" x14ac:dyDescent="0.2">
      <c r="A603" t="str">
        <f t="shared" si="9"/>
        <v/>
      </c>
      <c r="AC603" s="15"/>
    </row>
    <row r="604" spans="1:29" ht="18" customHeight="1" x14ac:dyDescent="0.2">
      <c r="A604" t="str">
        <f t="shared" si="9"/>
        <v/>
      </c>
      <c r="AC604" s="15"/>
    </row>
    <row r="605" spans="1:29" ht="18" customHeight="1" x14ac:dyDescent="0.2">
      <c r="A605" t="str">
        <f t="shared" si="9"/>
        <v/>
      </c>
      <c r="AC605" s="15"/>
    </row>
    <row r="606" spans="1:29" ht="18" customHeight="1" x14ac:dyDescent="0.2">
      <c r="A606" t="str">
        <f t="shared" si="9"/>
        <v/>
      </c>
      <c r="AC606" s="15"/>
    </row>
    <row r="607" spans="1:29" ht="18" customHeight="1" x14ac:dyDescent="0.2">
      <c r="A607" t="str">
        <f t="shared" si="9"/>
        <v/>
      </c>
      <c r="AC607" s="15"/>
    </row>
    <row r="608" spans="1:29" ht="18" customHeight="1" x14ac:dyDescent="0.2">
      <c r="A608" t="str">
        <f t="shared" si="9"/>
        <v/>
      </c>
      <c r="AC608" s="15"/>
    </row>
    <row r="609" spans="1:29" ht="18" customHeight="1" x14ac:dyDescent="0.2">
      <c r="A609" t="str">
        <f t="shared" si="9"/>
        <v/>
      </c>
      <c r="AC609" s="15"/>
    </row>
    <row r="610" spans="1:29" ht="18" customHeight="1" x14ac:dyDescent="0.2">
      <c r="A610" t="str">
        <f t="shared" si="9"/>
        <v/>
      </c>
      <c r="AC610" s="15"/>
    </row>
    <row r="611" spans="1:29" ht="18" customHeight="1" x14ac:dyDescent="0.2">
      <c r="A611" t="str">
        <f t="shared" si="9"/>
        <v/>
      </c>
      <c r="AC611" s="15"/>
    </row>
    <row r="612" spans="1:29" ht="18" customHeight="1" x14ac:dyDescent="0.2">
      <c r="A612" t="str">
        <f t="shared" si="9"/>
        <v/>
      </c>
      <c r="AC612" s="15"/>
    </row>
    <row r="613" spans="1:29" ht="18" customHeight="1" x14ac:dyDescent="0.2">
      <c r="A613" t="str">
        <f t="shared" si="9"/>
        <v/>
      </c>
      <c r="AC613" s="15"/>
    </row>
    <row r="614" spans="1:29" ht="18" customHeight="1" x14ac:dyDescent="0.2">
      <c r="A614" t="str">
        <f t="shared" si="9"/>
        <v/>
      </c>
      <c r="AC614" s="15"/>
    </row>
    <row r="615" spans="1:29" ht="18" customHeight="1" x14ac:dyDescent="0.2">
      <c r="A615" t="str">
        <f t="shared" si="9"/>
        <v/>
      </c>
      <c r="AC615" s="15"/>
    </row>
    <row r="616" spans="1:29" ht="18" customHeight="1" x14ac:dyDescent="0.2">
      <c r="A616" t="str">
        <f t="shared" si="9"/>
        <v/>
      </c>
      <c r="AC616" s="15"/>
    </row>
    <row r="617" spans="1:29" ht="18" customHeight="1" x14ac:dyDescent="0.2">
      <c r="A617" t="str">
        <f t="shared" si="9"/>
        <v/>
      </c>
      <c r="AC617" s="15"/>
    </row>
    <row r="618" spans="1:29" ht="18" customHeight="1" x14ac:dyDescent="0.2">
      <c r="A618" t="str">
        <f t="shared" si="9"/>
        <v/>
      </c>
      <c r="AC618" s="15"/>
    </row>
    <row r="619" spans="1:29" ht="18" customHeight="1" x14ac:dyDescent="0.2">
      <c r="A619" t="str">
        <f t="shared" si="9"/>
        <v/>
      </c>
      <c r="AC619" s="15"/>
    </row>
    <row r="620" spans="1:29" ht="18" customHeight="1" x14ac:dyDescent="0.2">
      <c r="A620" t="str">
        <f t="shared" si="9"/>
        <v/>
      </c>
      <c r="AC620" s="15"/>
    </row>
    <row r="621" spans="1:29" ht="18" customHeight="1" x14ac:dyDescent="0.2">
      <c r="A621" t="str">
        <f t="shared" si="9"/>
        <v/>
      </c>
      <c r="AC621" s="15"/>
    </row>
    <row r="622" spans="1:29" ht="18" customHeight="1" x14ac:dyDescent="0.2">
      <c r="A622" t="str">
        <f t="shared" si="9"/>
        <v/>
      </c>
      <c r="AC622" s="15"/>
    </row>
    <row r="623" spans="1:29" ht="18" customHeight="1" x14ac:dyDescent="0.2">
      <c r="A623" t="str">
        <f t="shared" si="9"/>
        <v/>
      </c>
      <c r="AC623" s="15"/>
    </row>
    <row r="624" spans="1:29" ht="18" customHeight="1" x14ac:dyDescent="0.2">
      <c r="A624" t="str">
        <f t="shared" si="9"/>
        <v/>
      </c>
      <c r="AC624" s="15"/>
    </row>
    <row r="625" spans="1:29" ht="18" customHeight="1" x14ac:dyDescent="0.2">
      <c r="A625" t="str">
        <f t="shared" si="9"/>
        <v/>
      </c>
      <c r="AC625" s="15"/>
    </row>
    <row r="626" spans="1:29" ht="18" customHeight="1" x14ac:dyDescent="0.2">
      <c r="A626" t="str">
        <f t="shared" si="9"/>
        <v/>
      </c>
      <c r="AC626" s="15"/>
    </row>
    <row r="627" spans="1:29" ht="18" customHeight="1" x14ac:dyDescent="0.2">
      <c r="A627" t="str">
        <f t="shared" si="9"/>
        <v/>
      </c>
      <c r="AC627" s="15"/>
    </row>
    <row r="628" spans="1:29" ht="18" customHeight="1" x14ac:dyDescent="0.2">
      <c r="A628" t="str">
        <f t="shared" si="9"/>
        <v/>
      </c>
      <c r="AC628" s="15"/>
    </row>
    <row r="629" spans="1:29" ht="18" customHeight="1" x14ac:dyDescent="0.2">
      <c r="A629" t="str">
        <f t="shared" si="9"/>
        <v/>
      </c>
      <c r="AC629" s="15"/>
    </row>
    <row r="630" spans="1:29" ht="18" customHeight="1" x14ac:dyDescent="0.2">
      <c r="A630" t="str">
        <f t="shared" si="9"/>
        <v/>
      </c>
      <c r="AC630" s="15"/>
    </row>
    <row r="631" spans="1:29" ht="18" customHeight="1" x14ac:dyDescent="0.2">
      <c r="A631" t="str">
        <f t="shared" si="9"/>
        <v/>
      </c>
      <c r="AC631" s="15"/>
    </row>
    <row r="632" spans="1:29" ht="18" customHeight="1" x14ac:dyDescent="0.2">
      <c r="A632" t="str">
        <f t="shared" si="9"/>
        <v/>
      </c>
      <c r="AC632" s="15"/>
    </row>
    <row r="633" spans="1:29" ht="18" customHeight="1" x14ac:dyDescent="0.2">
      <c r="A633" t="str">
        <f t="shared" si="9"/>
        <v/>
      </c>
      <c r="AC633" s="15"/>
    </row>
    <row r="634" spans="1:29" ht="18" customHeight="1" x14ac:dyDescent="0.2">
      <c r="A634" t="str">
        <f t="shared" si="9"/>
        <v/>
      </c>
      <c r="AC634" s="15"/>
    </row>
    <row r="635" spans="1:29" ht="18" customHeight="1" x14ac:dyDescent="0.2">
      <c r="A635" t="str">
        <f t="shared" si="9"/>
        <v/>
      </c>
      <c r="AC635" s="15"/>
    </row>
    <row r="636" spans="1:29" ht="18" customHeight="1" x14ac:dyDescent="0.2">
      <c r="A636" t="str">
        <f t="shared" si="9"/>
        <v/>
      </c>
      <c r="AC636" s="15"/>
    </row>
    <row r="637" spans="1:29" ht="18" customHeight="1" x14ac:dyDescent="0.2">
      <c r="A637" t="str">
        <f t="shared" si="9"/>
        <v/>
      </c>
      <c r="AC637" s="15"/>
    </row>
    <row r="638" spans="1:29" ht="18" customHeight="1" x14ac:dyDescent="0.2">
      <c r="A638" t="str">
        <f t="shared" si="9"/>
        <v/>
      </c>
      <c r="AC638" s="15"/>
    </row>
    <row r="639" spans="1:29" ht="18" customHeight="1" x14ac:dyDescent="0.2">
      <c r="A639" t="str">
        <f t="shared" si="9"/>
        <v/>
      </c>
      <c r="AC639" s="15"/>
    </row>
    <row r="640" spans="1:29" ht="18" customHeight="1" x14ac:dyDescent="0.2">
      <c r="A640" t="str">
        <f t="shared" si="9"/>
        <v/>
      </c>
      <c r="AC640" s="15"/>
    </row>
    <row r="641" spans="1:29" ht="18" customHeight="1" x14ac:dyDescent="0.2">
      <c r="A641" t="str">
        <f t="shared" si="9"/>
        <v/>
      </c>
      <c r="AC641" s="15"/>
    </row>
    <row r="642" spans="1:29" ht="18" customHeight="1" x14ac:dyDescent="0.2">
      <c r="A642" t="str">
        <f t="shared" si="9"/>
        <v/>
      </c>
      <c r="AC642" s="15"/>
    </row>
    <row r="643" spans="1:29" ht="18" customHeight="1" x14ac:dyDescent="0.2">
      <c r="A643" t="str">
        <f t="shared" si="9"/>
        <v/>
      </c>
      <c r="AC643" s="15"/>
    </row>
    <row r="644" spans="1:29" ht="18" customHeight="1" x14ac:dyDescent="0.2">
      <c r="A644" t="str">
        <f t="shared" si="9"/>
        <v/>
      </c>
      <c r="AC644" s="15"/>
    </row>
    <row r="645" spans="1:29" ht="18" customHeight="1" x14ac:dyDescent="0.2">
      <c r="A645" t="str">
        <f t="shared" ref="A645:A708" si="10">IF(C645&lt;&gt;"","HC/"&amp;(ROW()-4),"")</f>
        <v/>
      </c>
      <c r="AC645" s="15"/>
    </row>
    <row r="646" spans="1:29" ht="18" customHeight="1" x14ac:dyDescent="0.2">
      <c r="A646" t="str">
        <f t="shared" si="10"/>
        <v/>
      </c>
      <c r="AC646" s="15"/>
    </row>
    <row r="647" spans="1:29" ht="18" customHeight="1" x14ac:dyDescent="0.2">
      <c r="A647" t="str">
        <f t="shared" si="10"/>
        <v/>
      </c>
      <c r="AC647" s="15"/>
    </row>
    <row r="648" spans="1:29" ht="18" customHeight="1" x14ac:dyDescent="0.2">
      <c r="A648" t="str">
        <f t="shared" si="10"/>
        <v/>
      </c>
      <c r="AC648" s="15"/>
    </row>
    <row r="649" spans="1:29" ht="18" customHeight="1" x14ac:dyDescent="0.2">
      <c r="A649" t="str">
        <f t="shared" si="10"/>
        <v/>
      </c>
      <c r="AC649" s="15"/>
    </row>
    <row r="650" spans="1:29" ht="18" customHeight="1" x14ac:dyDescent="0.2">
      <c r="A650" t="str">
        <f t="shared" si="10"/>
        <v/>
      </c>
      <c r="AC650" s="15"/>
    </row>
    <row r="651" spans="1:29" ht="18" customHeight="1" x14ac:dyDescent="0.2">
      <c r="A651" t="str">
        <f t="shared" si="10"/>
        <v/>
      </c>
      <c r="AC651" s="15"/>
    </row>
    <row r="652" spans="1:29" ht="18" customHeight="1" x14ac:dyDescent="0.2">
      <c r="A652" t="str">
        <f t="shared" si="10"/>
        <v/>
      </c>
      <c r="AC652" s="15"/>
    </row>
    <row r="653" spans="1:29" ht="18" customHeight="1" x14ac:dyDescent="0.2">
      <c r="A653" t="str">
        <f t="shared" si="10"/>
        <v/>
      </c>
      <c r="AC653" s="15"/>
    </row>
    <row r="654" spans="1:29" ht="18" customHeight="1" x14ac:dyDescent="0.2">
      <c r="A654" t="str">
        <f t="shared" si="10"/>
        <v/>
      </c>
      <c r="AC654" s="15"/>
    </row>
    <row r="655" spans="1:29" ht="18" customHeight="1" x14ac:dyDescent="0.2">
      <c r="A655" t="str">
        <f t="shared" si="10"/>
        <v/>
      </c>
      <c r="AC655" s="15"/>
    </row>
    <row r="656" spans="1:29" ht="18" customHeight="1" x14ac:dyDescent="0.2">
      <c r="A656" t="str">
        <f t="shared" si="10"/>
        <v/>
      </c>
      <c r="AC656" s="15"/>
    </row>
    <row r="657" spans="1:29" ht="18" customHeight="1" x14ac:dyDescent="0.2">
      <c r="A657" t="str">
        <f t="shared" si="10"/>
        <v/>
      </c>
      <c r="AC657" s="15"/>
    </row>
    <row r="658" spans="1:29" ht="18" customHeight="1" x14ac:dyDescent="0.2">
      <c r="A658" t="str">
        <f t="shared" si="10"/>
        <v/>
      </c>
      <c r="AC658" s="15"/>
    </row>
    <row r="659" spans="1:29" ht="18" customHeight="1" x14ac:dyDescent="0.2">
      <c r="A659" t="str">
        <f t="shared" si="10"/>
        <v/>
      </c>
      <c r="AC659" s="15"/>
    </row>
    <row r="660" spans="1:29" ht="18" customHeight="1" x14ac:dyDescent="0.2">
      <c r="A660" t="str">
        <f t="shared" si="10"/>
        <v/>
      </c>
      <c r="AC660" s="15"/>
    </row>
    <row r="661" spans="1:29" ht="18" customHeight="1" x14ac:dyDescent="0.2">
      <c r="A661" t="str">
        <f t="shared" si="10"/>
        <v/>
      </c>
      <c r="AC661" s="15"/>
    </row>
    <row r="662" spans="1:29" ht="18" customHeight="1" x14ac:dyDescent="0.2">
      <c r="A662" t="str">
        <f t="shared" si="10"/>
        <v/>
      </c>
      <c r="AC662" s="15"/>
    </row>
    <row r="663" spans="1:29" ht="18" customHeight="1" x14ac:dyDescent="0.2">
      <c r="A663" t="str">
        <f t="shared" si="10"/>
        <v/>
      </c>
      <c r="AC663" s="15"/>
    </row>
    <row r="664" spans="1:29" ht="18" customHeight="1" x14ac:dyDescent="0.2">
      <c r="A664" t="str">
        <f t="shared" si="10"/>
        <v/>
      </c>
      <c r="AC664" s="15"/>
    </row>
    <row r="665" spans="1:29" ht="18" customHeight="1" x14ac:dyDescent="0.2">
      <c r="A665" t="str">
        <f t="shared" si="10"/>
        <v/>
      </c>
      <c r="AC665" s="15"/>
    </row>
    <row r="666" spans="1:29" ht="18" customHeight="1" x14ac:dyDescent="0.2">
      <c r="A666" t="str">
        <f t="shared" si="10"/>
        <v/>
      </c>
      <c r="AC666" s="15"/>
    </row>
    <row r="667" spans="1:29" ht="18" customHeight="1" x14ac:dyDescent="0.2">
      <c r="A667" t="str">
        <f t="shared" si="10"/>
        <v/>
      </c>
      <c r="AC667" s="15"/>
    </row>
    <row r="668" spans="1:29" ht="18" customHeight="1" x14ac:dyDescent="0.2">
      <c r="A668" t="str">
        <f t="shared" si="10"/>
        <v/>
      </c>
      <c r="AC668" s="15"/>
    </row>
    <row r="669" spans="1:29" ht="18" customHeight="1" x14ac:dyDescent="0.2">
      <c r="A669" t="str">
        <f t="shared" si="10"/>
        <v/>
      </c>
      <c r="AC669" s="15"/>
    </row>
    <row r="670" spans="1:29" ht="18" customHeight="1" x14ac:dyDescent="0.2">
      <c r="A670" t="str">
        <f t="shared" si="10"/>
        <v/>
      </c>
      <c r="AC670" s="15"/>
    </row>
    <row r="671" spans="1:29" ht="18" customHeight="1" x14ac:dyDescent="0.2">
      <c r="A671" t="str">
        <f t="shared" si="10"/>
        <v/>
      </c>
      <c r="AC671" s="15"/>
    </row>
    <row r="672" spans="1:29" ht="18" customHeight="1" x14ac:dyDescent="0.2">
      <c r="A672" t="str">
        <f t="shared" si="10"/>
        <v/>
      </c>
      <c r="AC672" s="15"/>
    </row>
    <row r="673" spans="1:29" ht="18" customHeight="1" x14ac:dyDescent="0.2">
      <c r="A673" t="str">
        <f t="shared" si="10"/>
        <v/>
      </c>
      <c r="AC673" s="15"/>
    </row>
    <row r="674" spans="1:29" ht="18" customHeight="1" x14ac:dyDescent="0.2">
      <c r="A674" t="str">
        <f t="shared" si="10"/>
        <v/>
      </c>
      <c r="AC674" s="15"/>
    </row>
    <row r="675" spans="1:29" ht="18" customHeight="1" x14ac:dyDescent="0.2">
      <c r="A675" t="str">
        <f t="shared" si="10"/>
        <v/>
      </c>
      <c r="AC675" s="15"/>
    </row>
    <row r="676" spans="1:29" ht="18" customHeight="1" x14ac:dyDescent="0.2">
      <c r="A676" t="str">
        <f t="shared" si="10"/>
        <v/>
      </c>
      <c r="AC676" s="15"/>
    </row>
    <row r="677" spans="1:29" ht="18" customHeight="1" x14ac:dyDescent="0.2">
      <c r="A677" t="str">
        <f t="shared" si="10"/>
        <v/>
      </c>
      <c r="AC677" s="15"/>
    </row>
    <row r="678" spans="1:29" ht="18" customHeight="1" x14ac:dyDescent="0.2">
      <c r="A678" t="str">
        <f t="shared" si="10"/>
        <v/>
      </c>
      <c r="AC678" s="15"/>
    </row>
    <row r="679" spans="1:29" ht="18" customHeight="1" x14ac:dyDescent="0.2">
      <c r="A679" t="str">
        <f t="shared" si="10"/>
        <v/>
      </c>
      <c r="AC679" s="15"/>
    </row>
    <row r="680" spans="1:29" ht="18" customHeight="1" x14ac:dyDescent="0.2">
      <c r="A680" t="str">
        <f t="shared" si="10"/>
        <v/>
      </c>
      <c r="AC680" s="15"/>
    </row>
    <row r="681" spans="1:29" ht="18" customHeight="1" x14ac:dyDescent="0.2">
      <c r="A681" t="str">
        <f t="shared" si="10"/>
        <v/>
      </c>
      <c r="AC681" s="15"/>
    </row>
    <row r="682" spans="1:29" ht="18" customHeight="1" x14ac:dyDescent="0.2">
      <c r="A682" t="str">
        <f t="shared" si="10"/>
        <v/>
      </c>
      <c r="AC682" s="15"/>
    </row>
    <row r="683" spans="1:29" ht="18" customHeight="1" x14ac:dyDescent="0.2">
      <c r="A683" t="str">
        <f t="shared" si="10"/>
        <v/>
      </c>
      <c r="AC683" s="15"/>
    </row>
    <row r="684" spans="1:29" ht="18" customHeight="1" x14ac:dyDescent="0.2">
      <c r="A684" t="str">
        <f t="shared" si="10"/>
        <v/>
      </c>
      <c r="AC684" s="15"/>
    </row>
    <row r="685" spans="1:29" ht="18" customHeight="1" x14ac:dyDescent="0.2">
      <c r="A685" t="str">
        <f t="shared" si="10"/>
        <v/>
      </c>
      <c r="AC685" s="15"/>
    </row>
    <row r="686" spans="1:29" ht="18" customHeight="1" x14ac:dyDescent="0.2">
      <c r="A686" t="str">
        <f t="shared" si="10"/>
        <v/>
      </c>
      <c r="AC686" s="15"/>
    </row>
    <row r="687" spans="1:29" ht="18" customHeight="1" x14ac:dyDescent="0.2">
      <c r="A687" t="str">
        <f t="shared" si="10"/>
        <v/>
      </c>
      <c r="AC687" s="15"/>
    </row>
    <row r="688" spans="1:29" ht="18" customHeight="1" x14ac:dyDescent="0.2">
      <c r="A688" t="str">
        <f t="shared" si="10"/>
        <v/>
      </c>
      <c r="AC688" s="15"/>
    </row>
    <row r="689" spans="1:29" ht="18" customHeight="1" x14ac:dyDescent="0.2">
      <c r="A689" t="str">
        <f t="shared" si="10"/>
        <v/>
      </c>
      <c r="AC689" s="15"/>
    </row>
    <row r="690" spans="1:29" ht="18" customHeight="1" x14ac:dyDescent="0.2">
      <c r="A690" t="str">
        <f t="shared" si="10"/>
        <v/>
      </c>
      <c r="AC690" s="15"/>
    </row>
    <row r="691" spans="1:29" ht="18" customHeight="1" x14ac:dyDescent="0.2">
      <c r="A691" t="str">
        <f t="shared" si="10"/>
        <v/>
      </c>
      <c r="AC691" s="15"/>
    </row>
    <row r="692" spans="1:29" ht="18" customHeight="1" x14ac:dyDescent="0.2">
      <c r="A692" t="str">
        <f t="shared" si="10"/>
        <v/>
      </c>
      <c r="AC692" s="15"/>
    </row>
    <row r="693" spans="1:29" ht="18" customHeight="1" x14ac:dyDescent="0.2">
      <c r="A693" t="str">
        <f t="shared" si="10"/>
        <v/>
      </c>
      <c r="AC693" s="15"/>
    </row>
    <row r="694" spans="1:29" ht="18" customHeight="1" x14ac:dyDescent="0.2">
      <c r="A694" t="str">
        <f t="shared" si="10"/>
        <v/>
      </c>
      <c r="AC694" s="15"/>
    </row>
    <row r="695" spans="1:29" ht="18" customHeight="1" x14ac:dyDescent="0.2">
      <c r="A695" t="str">
        <f t="shared" si="10"/>
        <v/>
      </c>
      <c r="AC695" s="15"/>
    </row>
    <row r="696" spans="1:29" ht="18" customHeight="1" x14ac:dyDescent="0.2">
      <c r="A696" t="str">
        <f t="shared" si="10"/>
        <v/>
      </c>
      <c r="AC696" s="15"/>
    </row>
    <row r="697" spans="1:29" ht="18" customHeight="1" x14ac:dyDescent="0.2">
      <c r="A697" t="str">
        <f t="shared" si="10"/>
        <v/>
      </c>
      <c r="AC697" s="15"/>
    </row>
    <row r="698" spans="1:29" ht="18" customHeight="1" x14ac:dyDescent="0.2">
      <c r="A698" t="str">
        <f t="shared" si="10"/>
        <v/>
      </c>
      <c r="AC698" s="15"/>
    </row>
    <row r="699" spans="1:29" ht="18" customHeight="1" x14ac:dyDescent="0.2">
      <c r="A699" t="str">
        <f t="shared" si="10"/>
        <v/>
      </c>
      <c r="AC699" s="15"/>
    </row>
    <row r="700" spans="1:29" ht="18" customHeight="1" x14ac:dyDescent="0.2">
      <c r="A700" t="str">
        <f t="shared" si="10"/>
        <v/>
      </c>
      <c r="AC700" s="15"/>
    </row>
    <row r="701" spans="1:29" ht="18" customHeight="1" x14ac:dyDescent="0.2">
      <c r="A701" t="str">
        <f t="shared" si="10"/>
        <v/>
      </c>
      <c r="AC701" s="15"/>
    </row>
    <row r="702" spans="1:29" ht="18" customHeight="1" x14ac:dyDescent="0.2">
      <c r="A702" t="str">
        <f t="shared" si="10"/>
        <v/>
      </c>
      <c r="AC702" s="15"/>
    </row>
    <row r="703" spans="1:29" ht="18" customHeight="1" x14ac:dyDescent="0.2">
      <c r="A703" t="str">
        <f t="shared" si="10"/>
        <v/>
      </c>
      <c r="AC703" s="15"/>
    </row>
    <row r="704" spans="1:29" ht="18" customHeight="1" x14ac:dyDescent="0.2">
      <c r="A704" t="str">
        <f t="shared" si="10"/>
        <v/>
      </c>
      <c r="AC704" s="15"/>
    </row>
    <row r="705" spans="1:29" ht="18" customHeight="1" x14ac:dyDescent="0.2">
      <c r="A705" t="str">
        <f t="shared" si="10"/>
        <v/>
      </c>
      <c r="AC705" s="15"/>
    </row>
    <row r="706" spans="1:29" ht="18" customHeight="1" x14ac:dyDescent="0.2">
      <c r="A706" t="str">
        <f t="shared" si="10"/>
        <v/>
      </c>
      <c r="AC706" s="15"/>
    </row>
    <row r="707" spans="1:29" ht="18" customHeight="1" x14ac:dyDescent="0.2">
      <c r="A707" t="str">
        <f t="shared" si="10"/>
        <v/>
      </c>
      <c r="AC707" s="15"/>
    </row>
    <row r="708" spans="1:29" ht="18" customHeight="1" x14ac:dyDescent="0.2">
      <c r="A708" t="str">
        <f t="shared" si="10"/>
        <v/>
      </c>
      <c r="AC708" s="15"/>
    </row>
    <row r="709" spans="1:29" ht="18" customHeight="1" x14ac:dyDescent="0.2">
      <c r="A709" t="str">
        <f t="shared" ref="A709:A772" si="11">IF(C709&lt;&gt;"","HC/"&amp;(ROW()-4),"")</f>
        <v/>
      </c>
      <c r="AC709" s="15"/>
    </row>
    <row r="710" spans="1:29" ht="18" customHeight="1" x14ac:dyDescent="0.2">
      <c r="A710" t="str">
        <f t="shared" si="11"/>
        <v/>
      </c>
      <c r="AC710" s="15"/>
    </row>
    <row r="711" spans="1:29" ht="18" customHeight="1" x14ac:dyDescent="0.2">
      <c r="A711" t="str">
        <f t="shared" si="11"/>
        <v/>
      </c>
      <c r="AC711" s="15"/>
    </row>
    <row r="712" spans="1:29" ht="18" customHeight="1" x14ac:dyDescent="0.2">
      <c r="A712" t="str">
        <f t="shared" si="11"/>
        <v/>
      </c>
      <c r="AC712" s="15"/>
    </row>
    <row r="713" spans="1:29" ht="18" customHeight="1" x14ac:dyDescent="0.2">
      <c r="A713" t="str">
        <f t="shared" si="11"/>
        <v/>
      </c>
      <c r="AC713" s="15"/>
    </row>
    <row r="714" spans="1:29" ht="18" customHeight="1" x14ac:dyDescent="0.2">
      <c r="A714" t="str">
        <f t="shared" si="11"/>
        <v/>
      </c>
      <c r="AC714" s="15"/>
    </row>
    <row r="715" spans="1:29" ht="18" customHeight="1" x14ac:dyDescent="0.2">
      <c r="A715" t="str">
        <f t="shared" si="11"/>
        <v/>
      </c>
      <c r="AC715" s="15"/>
    </row>
    <row r="716" spans="1:29" ht="18" customHeight="1" x14ac:dyDescent="0.2">
      <c r="A716" t="str">
        <f t="shared" si="11"/>
        <v/>
      </c>
      <c r="AC716" s="15"/>
    </row>
    <row r="717" spans="1:29" ht="18" customHeight="1" x14ac:dyDescent="0.2">
      <c r="A717" t="str">
        <f t="shared" si="11"/>
        <v/>
      </c>
      <c r="AC717" s="15"/>
    </row>
    <row r="718" spans="1:29" ht="18" customHeight="1" x14ac:dyDescent="0.2">
      <c r="A718" t="str">
        <f t="shared" si="11"/>
        <v/>
      </c>
      <c r="AC718" s="15"/>
    </row>
    <row r="719" spans="1:29" ht="18" customHeight="1" x14ac:dyDescent="0.2">
      <c r="A719" t="str">
        <f t="shared" si="11"/>
        <v/>
      </c>
      <c r="AC719" s="15"/>
    </row>
    <row r="720" spans="1:29" ht="18" customHeight="1" x14ac:dyDescent="0.2">
      <c r="A720" t="str">
        <f t="shared" si="11"/>
        <v/>
      </c>
      <c r="AC720" s="15"/>
    </row>
    <row r="721" spans="1:29" ht="18" customHeight="1" x14ac:dyDescent="0.2">
      <c r="A721" t="str">
        <f t="shared" si="11"/>
        <v/>
      </c>
      <c r="AC721" s="15"/>
    </row>
    <row r="722" spans="1:29" ht="18" customHeight="1" x14ac:dyDescent="0.2">
      <c r="A722" t="str">
        <f t="shared" si="11"/>
        <v/>
      </c>
      <c r="AC722" s="15"/>
    </row>
    <row r="723" spans="1:29" ht="18" customHeight="1" x14ac:dyDescent="0.2">
      <c r="A723" t="str">
        <f t="shared" si="11"/>
        <v/>
      </c>
      <c r="AC723" s="15"/>
    </row>
    <row r="724" spans="1:29" ht="18" customHeight="1" x14ac:dyDescent="0.2">
      <c r="A724" t="str">
        <f t="shared" si="11"/>
        <v/>
      </c>
      <c r="AC724" s="15"/>
    </row>
    <row r="725" spans="1:29" ht="18" customHeight="1" x14ac:dyDescent="0.2">
      <c r="A725" t="str">
        <f t="shared" si="11"/>
        <v/>
      </c>
      <c r="AC725" s="15"/>
    </row>
    <row r="726" spans="1:29" ht="18" customHeight="1" x14ac:dyDescent="0.2">
      <c r="A726" t="str">
        <f t="shared" si="11"/>
        <v/>
      </c>
      <c r="AC726" s="15"/>
    </row>
    <row r="727" spans="1:29" ht="18" customHeight="1" x14ac:dyDescent="0.2">
      <c r="A727" t="str">
        <f t="shared" si="11"/>
        <v/>
      </c>
      <c r="AC727" s="15"/>
    </row>
    <row r="728" spans="1:29" ht="18" customHeight="1" x14ac:dyDescent="0.2">
      <c r="A728" t="str">
        <f t="shared" si="11"/>
        <v/>
      </c>
      <c r="AC728" s="15"/>
    </row>
    <row r="729" spans="1:29" ht="18" customHeight="1" x14ac:dyDescent="0.2">
      <c r="A729" t="str">
        <f t="shared" si="11"/>
        <v/>
      </c>
      <c r="AC729" s="15"/>
    </row>
    <row r="730" spans="1:29" ht="18" customHeight="1" x14ac:dyDescent="0.2">
      <c r="A730" t="str">
        <f t="shared" si="11"/>
        <v/>
      </c>
      <c r="AC730" s="15"/>
    </row>
    <row r="731" spans="1:29" ht="18" customHeight="1" x14ac:dyDescent="0.2">
      <c r="A731" t="str">
        <f t="shared" si="11"/>
        <v/>
      </c>
      <c r="AC731" s="15"/>
    </row>
    <row r="732" spans="1:29" ht="18" customHeight="1" x14ac:dyDescent="0.2">
      <c r="A732" t="str">
        <f t="shared" si="11"/>
        <v/>
      </c>
      <c r="AC732" s="15"/>
    </row>
    <row r="733" spans="1:29" ht="18" customHeight="1" x14ac:dyDescent="0.2">
      <c r="A733" t="str">
        <f t="shared" si="11"/>
        <v/>
      </c>
      <c r="AC733" s="15"/>
    </row>
    <row r="734" spans="1:29" ht="18" customHeight="1" x14ac:dyDescent="0.2">
      <c r="A734" t="str">
        <f t="shared" si="11"/>
        <v/>
      </c>
      <c r="AC734" s="15"/>
    </row>
    <row r="735" spans="1:29" ht="18" customHeight="1" x14ac:dyDescent="0.2">
      <c r="A735" t="str">
        <f t="shared" si="11"/>
        <v/>
      </c>
      <c r="AC735" s="15"/>
    </row>
    <row r="736" spans="1:29" ht="18" customHeight="1" x14ac:dyDescent="0.2">
      <c r="A736" t="str">
        <f t="shared" si="11"/>
        <v/>
      </c>
      <c r="AC736" s="15"/>
    </row>
    <row r="737" spans="1:29" ht="18" customHeight="1" x14ac:dyDescent="0.2">
      <c r="A737" t="str">
        <f t="shared" si="11"/>
        <v/>
      </c>
      <c r="AC737" s="15"/>
    </row>
    <row r="738" spans="1:29" ht="18" customHeight="1" x14ac:dyDescent="0.2">
      <c r="A738" t="str">
        <f t="shared" si="11"/>
        <v/>
      </c>
      <c r="AC738" s="15"/>
    </row>
    <row r="739" spans="1:29" ht="18" customHeight="1" x14ac:dyDescent="0.2">
      <c r="A739" t="str">
        <f t="shared" si="11"/>
        <v/>
      </c>
      <c r="AC739" s="15"/>
    </row>
    <row r="740" spans="1:29" ht="18" customHeight="1" x14ac:dyDescent="0.2">
      <c r="A740" t="str">
        <f t="shared" si="11"/>
        <v/>
      </c>
      <c r="AC740" s="15"/>
    </row>
    <row r="741" spans="1:29" ht="18" customHeight="1" x14ac:dyDescent="0.2">
      <c r="A741" t="str">
        <f t="shared" si="11"/>
        <v/>
      </c>
      <c r="AC741" s="15"/>
    </row>
    <row r="742" spans="1:29" ht="18" customHeight="1" x14ac:dyDescent="0.2">
      <c r="A742" t="str">
        <f t="shared" si="11"/>
        <v/>
      </c>
      <c r="AC742" s="15"/>
    </row>
    <row r="743" spans="1:29" ht="18" customHeight="1" x14ac:dyDescent="0.2">
      <c r="A743" t="str">
        <f t="shared" si="11"/>
        <v/>
      </c>
      <c r="AC743" s="15"/>
    </row>
    <row r="744" spans="1:29" ht="18" customHeight="1" x14ac:dyDescent="0.2">
      <c r="A744" t="str">
        <f t="shared" si="11"/>
        <v/>
      </c>
      <c r="AC744" s="15"/>
    </row>
    <row r="745" spans="1:29" ht="18" customHeight="1" x14ac:dyDescent="0.2">
      <c r="A745" t="str">
        <f t="shared" si="11"/>
        <v/>
      </c>
      <c r="AC745" s="15"/>
    </row>
    <row r="746" spans="1:29" ht="18" customHeight="1" x14ac:dyDescent="0.2">
      <c r="A746" t="str">
        <f t="shared" si="11"/>
        <v/>
      </c>
      <c r="AC746" s="15"/>
    </row>
    <row r="747" spans="1:29" ht="18" customHeight="1" x14ac:dyDescent="0.2">
      <c r="A747" t="str">
        <f t="shared" si="11"/>
        <v/>
      </c>
      <c r="AC747" s="15"/>
    </row>
    <row r="748" spans="1:29" ht="18" customHeight="1" x14ac:dyDescent="0.2">
      <c r="A748" t="str">
        <f t="shared" si="11"/>
        <v/>
      </c>
      <c r="AC748" s="15"/>
    </row>
    <row r="749" spans="1:29" ht="18" customHeight="1" x14ac:dyDescent="0.2">
      <c r="A749" t="str">
        <f t="shared" si="11"/>
        <v/>
      </c>
      <c r="AC749" s="15"/>
    </row>
    <row r="750" spans="1:29" ht="18" customHeight="1" x14ac:dyDescent="0.2">
      <c r="A750" t="str">
        <f t="shared" si="11"/>
        <v/>
      </c>
      <c r="AC750" s="15"/>
    </row>
    <row r="751" spans="1:29" ht="18" customHeight="1" x14ac:dyDescent="0.2">
      <c r="A751" t="str">
        <f t="shared" si="11"/>
        <v/>
      </c>
      <c r="AC751" s="15"/>
    </row>
    <row r="752" spans="1:29" ht="18" customHeight="1" x14ac:dyDescent="0.2">
      <c r="A752" t="str">
        <f t="shared" si="11"/>
        <v/>
      </c>
      <c r="AC752" s="15"/>
    </row>
    <row r="753" spans="1:29" ht="18" customHeight="1" x14ac:dyDescent="0.2">
      <c r="A753" t="str">
        <f t="shared" si="11"/>
        <v/>
      </c>
      <c r="AC753" s="15"/>
    </row>
    <row r="754" spans="1:29" ht="18" customHeight="1" x14ac:dyDescent="0.2">
      <c r="A754" t="str">
        <f t="shared" si="11"/>
        <v/>
      </c>
      <c r="AC754" s="15"/>
    </row>
    <row r="755" spans="1:29" ht="18" customHeight="1" x14ac:dyDescent="0.2">
      <c r="A755" t="str">
        <f t="shared" si="11"/>
        <v/>
      </c>
      <c r="AC755" s="15"/>
    </row>
    <row r="756" spans="1:29" ht="18" customHeight="1" x14ac:dyDescent="0.2">
      <c r="A756" t="str">
        <f t="shared" si="11"/>
        <v/>
      </c>
      <c r="AC756" s="15"/>
    </row>
    <row r="757" spans="1:29" ht="18" customHeight="1" x14ac:dyDescent="0.2">
      <c r="A757" t="str">
        <f t="shared" si="11"/>
        <v/>
      </c>
      <c r="AC757" s="15"/>
    </row>
    <row r="758" spans="1:29" ht="18" customHeight="1" x14ac:dyDescent="0.2">
      <c r="A758" t="str">
        <f t="shared" si="11"/>
        <v/>
      </c>
      <c r="AC758" s="15"/>
    </row>
    <row r="759" spans="1:29" ht="18" customHeight="1" x14ac:dyDescent="0.2">
      <c r="A759" t="str">
        <f t="shared" si="11"/>
        <v/>
      </c>
      <c r="AC759" s="15"/>
    </row>
    <row r="760" spans="1:29" ht="18" customHeight="1" x14ac:dyDescent="0.2">
      <c r="A760" t="str">
        <f t="shared" si="11"/>
        <v/>
      </c>
      <c r="AC760" s="15"/>
    </row>
    <row r="761" spans="1:29" ht="18" customHeight="1" x14ac:dyDescent="0.2">
      <c r="A761" t="str">
        <f t="shared" si="11"/>
        <v/>
      </c>
      <c r="AC761" s="15"/>
    </row>
    <row r="762" spans="1:29" ht="18" customHeight="1" x14ac:dyDescent="0.2">
      <c r="A762" t="str">
        <f t="shared" si="11"/>
        <v/>
      </c>
      <c r="AC762" s="15"/>
    </row>
    <row r="763" spans="1:29" ht="18" customHeight="1" x14ac:dyDescent="0.2">
      <c r="A763" t="str">
        <f t="shared" si="11"/>
        <v/>
      </c>
      <c r="AC763" s="15"/>
    </row>
    <row r="764" spans="1:29" ht="18" customHeight="1" x14ac:dyDescent="0.2">
      <c r="A764" t="str">
        <f t="shared" si="11"/>
        <v/>
      </c>
      <c r="AC764" s="15"/>
    </row>
    <row r="765" spans="1:29" ht="18" customHeight="1" x14ac:dyDescent="0.2">
      <c r="A765" t="str">
        <f t="shared" si="11"/>
        <v/>
      </c>
      <c r="AC765" s="15"/>
    </row>
    <row r="766" spans="1:29" ht="18" customHeight="1" x14ac:dyDescent="0.2">
      <c r="A766" t="str">
        <f t="shared" si="11"/>
        <v/>
      </c>
      <c r="AC766" s="15"/>
    </row>
    <row r="767" spans="1:29" ht="18" customHeight="1" x14ac:dyDescent="0.2">
      <c r="A767" t="str">
        <f t="shared" si="11"/>
        <v/>
      </c>
      <c r="AC767" s="15"/>
    </row>
    <row r="768" spans="1:29" ht="18" customHeight="1" x14ac:dyDescent="0.2">
      <c r="A768" t="str">
        <f t="shared" si="11"/>
        <v/>
      </c>
      <c r="AC768" s="15"/>
    </row>
    <row r="769" spans="1:29" ht="18" customHeight="1" x14ac:dyDescent="0.2">
      <c r="A769" t="str">
        <f t="shared" si="11"/>
        <v/>
      </c>
      <c r="AC769" s="15"/>
    </row>
    <row r="770" spans="1:29" ht="18" customHeight="1" x14ac:dyDescent="0.2">
      <c r="A770" t="str">
        <f t="shared" si="11"/>
        <v/>
      </c>
      <c r="AC770" s="15"/>
    </row>
    <row r="771" spans="1:29" ht="18" customHeight="1" x14ac:dyDescent="0.2">
      <c r="A771" t="str">
        <f t="shared" si="11"/>
        <v/>
      </c>
      <c r="AC771" s="15"/>
    </row>
    <row r="772" spans="1:29" ht="18" customHeight="1" x14ac:dyDescent="0.2">
      <c r="A772" t="str">
        <f t="shared" si="11"/>
        <v/>
      </c>
      <c r="AC772" s="15"/>
    </row>
    <row r="773" spans="1:29" ht="18" customHeight="1" x14ac:dyDescent="0.2">
      <c r="A773" t="str">
        <f t="shared" ref="A773:A836" si="12">IF(C773&lt;&gt;"","HC/"&amp;(ROW()-4),"")</f>
        <v/>
      </c>
      <c r="AC773" s="15"/>
    </row>
    <row r="774" spans="1:29" ht="18" customHeight="1" x14ac:dyDescent="0.2">
      <c r="A774" t="str">
        <f t="shared" si="12"/>
        <v/>
      </c>
      <c r="AC774" s="15"/>
    </row>
    <row r="775" spans="1:29" ht="18" customHeight="1" x14ac:dyDescent="0.2">
      <c r="A775" t="str">
        <f t="shared" si="12"/>
        <v/>
      </c>
      <c r="AC775" s="15"/>
    </row>
    <row r="776" spans="1:29" ht="18" customHeight="1" x14ac:dyDescent="0.2">
      <c r="A776" t="str">
        <f t="shared" si="12"/>
        <v/>
      </c>
      <c r="AC776" s="15"/>
    </row>
    <row r="777" spans="1:29" ht="18" customHeight="1" x14ac:dyDescent="0.2">
      <c r="A777" t="str">
        <f t="shared" si="12"/>
        <v/>
      </c>
      <c r="AC777" s="15"/>
    </row>
    <row r="778" spans="1:29" ht="18" customHeight="1" x14ac:dyDescent="0.2">
      <c r="A778" t="str">
        <f t="shared" si="12"/>
        <v/>
      </c>
      <c r="AC778" s="15"/>
    </row>
    <row r="779" spans="1:29" ht="18" customHeight="1" x14ac:dyDescent="0.2">
      <c r="A779" t="str">
        <f t="shared" si="12"/>
        <v/>
      </c>
      <c r="AC779" s="15"/>
    </row>
    <row r="780" spans="1:29" ht="18" customHeight="1" x14ac:dyDescent="0.2">
      <c r="A780" t="str">
        <f t="shared" si="12"/>
        <v/>
      </c>
      <c r="AC780" s="15"/>
    </row>
    <row r="781" spans="1:29" ht="18" customHeight="1" x14ac:dyDescent="0.2">
      <c r="A781" t="str">
        <f t="shared" si="12"/>
        <v/>
      </c>
      <c r="AC781" s="15"/>
    </row>
    <row r="782" spans="1:29" ht="18" customHeight="1" x14ac:dyDescent="0.2">
      <c r="A782" t="str">
        <f t="shared" si="12"/>
        <v/>
      </c>
      <c r="AC782" s="15"/>
    </row>
    <row r="783" spans="1:29" ht="18" customHeight="1" x14ac:dyDescent="0.2">
      <c r="A783" t="str">
        <f t="shared" si="12"/>
        <v/>
      </c>
      <c r="AC783" s="15"/>
    </row>
    <row r="784" spans="1:29" ht="18" customHeight="1" x14ac:dyDescent="0.2">
      <c r="A784" t="str">
        <f t="shared" si="12"/>
        <v/>
      </c>
      <c r="AC784" s="15"/>
    </row>
    <row r="785" spans="1:29" ht="18" customHeight="1" x14ac:dyDescent="0.2">
      <c r="A785" t="str">
        <f t="shared" si="12"/>
        <v/>
      </c>
      <c r="AC785" s="15"/>
    </row>
    <row r="786" spans="1:29" ht="18" customHeight="1" x14ac:dyDescent="0.2">
      <c r="A786" t="str">
        <f t="shared" si="12"/>
        <v/>
      </c>
      <c r="AC786" s="15"/>
    </row>
    <row r="787" spans="1:29" ht="18" customHeight="1" x14ac:dyDescent="0.2">
      <c r="A787" t="str">
        <f t="shared" si="12"/>
        <v/>
      </c>
      <c r="AC787" s="15"/>
    </row>
    <row r="788" spans="1:29" ht="18" customHeight="1" x14ac:dyDescent="0.2">
      <c r="A788" t="str">
        <f t="shared" si="12"/>
        <v/>
      </c>
      <c r="AC788" s="15"/>
    </row>
    <row r="789" spans="1:29" ht="18" customHeight="1" x14ac:dyDescent="0.2">
      <c r="A789" t="str">
        <f t="shared" si="12"/>
        <v/>
      </c>
      <c r="AC789" s="15"/>
    </row>
    <row r="790" spans="1:29" ht="18" customHeight="1" x14ac:dyDescent="0.2">
      <c r="A790" t="str">
        <f t="shared" si="12"/>
        <v/>
      </c>
      <c r="AC790" s="15"/>
    </row>
    <row r="791" spans="1:29" ht="18" customHeight="1" x14ac:dyDescent="0.2">
      <c r="A791" t="str">
        <f t="shared" si="12"/>
        <v/>
      </c>
      <c r="AC791" s="15"/>
    </row>
    <row r="792" spans="1:29" ht="18" customHeight="1" x14ac:dyDescent="0.2">
      <c r="A792" t="str">
        <f t="shared" si="12"/>
        <v/>
      </c>
      <c r="AC792" s="15"/>
    </row>
    <row r="793" spans="1:29" ht="18" customHeight="1" x14ac:dyDescent="0.2">
      <c r="A793" t="str">
        <f t="shared" si="12"/>
        <v/>
      </c>
      <c r="AC793" s="15"/>
    </row>
    <row r="794" spans="1:29" ht="18" customHeight="1" x14ac:dyDescent="0.2">
      <c r="A794" t="str">
        <f t="shared" si="12"/>
        <v/>
      </c>
      <c r="AC794" s="15"/>
    </row>
    <row r="795" spans="1:29" ht="18" customHeight="1" x14ac:dyDescent="0.2">
      <c r="A795" t="str">
        <f t="shared" si="12"/>
        <v/>
      </c>
      <c r="AC795" s="15"/>
    </row>
    <row r="796" spans="1:29" ht="18" customHeight="1" x14ac:dyDescent="0.2">
      <c r="A796" t="str">
        <f t="shared" si="12"/>
        <v/>
      </c>
      <c r="AC796" s="15"/>
    </row>
    <row r="797" spans="1:29" ht="18" customHeight="1" x14ac:dyDescent="0.2">
      <c r="A797" t="str">
        <f t="shared" si="12"/>
        <v/>
      </c>
      <c r="AC797" s="15"/>
    </row>
    <row r="798" spans="1:29" ht="18" customHeight="1" x14ac:dyDescent="0.2">
      <c r="A798" t="str">
        <f t="shared" si="12"/>
        <v/>
      </c>
      <c r="AC798" s="15"/>
    </row>
    <row r="799" spans="1:29" ht="18" customHeight="1" x14ac:dyDescent="0.2">
      <c r="A799" t="str">
        <f t="shared" si="12"/>
        <v/>
      </c>
      <c r="AC799" s="15"/>
    </row>
    <row r="800" spans="1:29" ht="18" customHeight="1" x14ac:dyDescent="0.2">
      <c r="A800" t="str">
        <f t="shared" si="12"/>
        <v/>
      </c>
      <c r="AC800" s="15"/>
    </row>
    <row r="801" spans="1:29" ht="18" customHeight="1" x14ac:dyDescent="0.2">
      <c r="A801" t="str">
        <f t="shared" si="12"/>
        <v/>
      </c>
      <c r="AC801" s="15"/>
    </row>
    <row r="802" spans="1:29" ht="18" customHeight="1" x14ac:dyDescent="0.2">
      <c r="A802" t="str">
        <f t="shared" si="12"/>
        <v/>
      </c>
      <c r="AC802" s="15"/>
    </row>
    <row r="803" spans="1:29" ht="18" customHeight="1" x14ac:dyDescent="0.2">
      <c r="A803" t="str">
        <f t="shared" si="12"/>
        <v/>
      </c>
      <c r="AC803" s="15"/>
    </row>
    <row r="804" spans="1:29" ht="18" customHeight="1" x14ac:dyDescent="0.2">
      <c r="A804" t="str">
        <f t="shared" si="12"/>
        <v/>
      </c>
      <c r="AC804" s="15"/>
    </row>
    <row r="805" spans="1:29" ht="18" customHeight="1" x14ac:dyDescent="0.2">
      <c r="A805" t="str">
        <f t="shared" si="12"/>
        <v/>
      </c>
      <c r="AC805" s="15"/>
    </row>
    <row r="806" spans="1:29" ht="18" customHeight="1" x14ac:dyDescent="0.2">
      <c r="A806" t="str">
        <f t="shared" si="12"/>
        <v/>
      </c>
      <c r="AC806" s="15"/>
    </row>
    <row r="807" spans="1:29" ht="18" customHeight="1" x14ac:dyDescent="0.2">
      <c r="A807" t="str">
        <f t="shared" si="12"/>
        <v/>
      </c>
      <c r="AC807" s="15"/>
    </row>
    <row r="808" spans="1:29" ht="18" customHeight="1" x14ac:dyDescent="0.2">
      <c r="A808" t="str">
        <f t="shared" si="12"/>
        <v/>
      </c>
      <c r="AC808" s="15"/>
    </row>
    <row r="809" spans="1:29" ht="18" customHeight="1" x14ac:dyDescent="0.2">
      <c r="A809" t="str">
        <f t="shared" si="12"/>
        <v/>
      </c>
      <c r="AC809" s="15"/>
    </row>
    <row r="810" spans="1:29" ht="18" customHeight="1" x14ac:dyDescent="0.2">
      <c r="A810" t="str">
        <f t="shared" si="12"/>
        <v/>
      </c>
      <c r="AC810" s="15"/>
    </row>
    <row r="811" spans="1:29" ht="18" customHeight="1" x14ac:dyDescent="0.2">
      <c r="A811" t="str">
        <f t="shared" si="12"/>
        <v/>
      </c>
      <c r="AC811" s="15"/>
    </row>
    <row r="812" spans="1:29" ht="18" customHeight="1" x14ac:dyDescent="0.2">
      <c r="A812" t="str">
        <f t="shared" si="12"/>
        <v/>
      </c>
      <c r="AC812" s="15"/>
    </row>
    <row r="813" spans="1:29" ht="18" customHeight="1" x14ac:dyDescent="0.2">
      <c r="A813" t="str">
        <f t="shared" si="12"/>
        <v/>
      </c>
      <c r="AC813" s="15"/>
    </row>
    <row r="814" spans="1:29" ht="18" customHeight="1" x14ac:dyDescent="0.2">
      <c r="A814" t="str">
        <f t="shared" si="12"/>
        <v/>
      </c>
      <c r="AC814" s="15"/>
    </row>
    <row r="815" spans="1:29" ht="18" customHeight="1" x14ac:dyDescent="0.2">
      <c r="A815" t="str">
        <f t="shared" si="12"/>
        <v/>
      </c>
      <c r="AC815" s="15"/>
    </row>
    <row r="816" spans="1:29" ht="18" customHeight="1" x14ac:dyDescent="0.2">
      <c r="A816" t="str">
        <f t="shared" si="12"/>
        <v/>
      </c>
      <c r="AC816" s="15"/>
    </row>
    <row r="817" spans="1:29" ht="18" customHeight="1" x14ac:dyDescent="0.2">
      <c r="A817" t="str">
        <f t="shared" si="12"/>
        <v/>
      </c>
      <c r="AC817" s="15"/>
    </row>
    <row r="818" spans="1:29" ht="18" customHeight="1" x14ac:dyDescent="0.2">
      <c r="A818" t="str">
        <f t="shared" si="12"/>
        <v/>
      </c>
      <c r="AC818" s="15"/>
    </row>
    <row r="819" spans="1:29" ht="18" customHeight="1" x14ac:dyDescent="0.2">
      <c r="A819" t="str">
        <f t="shared" si="12"/>
        <v/>
      </c>
      <c r="AC819" s="15"/>
    </row>
    <row r="820" spans="1:29" ht="18" customHeight="1" x14ac:dyDescent="0.2">
      <c r="A820" t="str">
        <f t="shared" si="12"/>
        <v/>
      </c>
      <c r="AC820" s="15"/>
    </row>
    <row r="821" spans="1:29" ht="18" customHeight="1" x14ac:dyDescent="0.2">
      <c r="A821" t="str">
        <f t="shared" si="12"/>
        <v/>
      </c>
      <c r="AC821" s="15"/>
    </row>
    <row r="822" spans="1:29" ht="18" customHeight="1" x14ac:dyDescent="0.2">
      <c r="A822" t="str">
        <f t="shared" si="12"/>
        <v/>
      </c>
      <c r="AC822" s="15"/>
    </row>
    <row r="823" spans="1:29" ht="18" customHeight="1" x14ac:dyDescent="0.2">
      <c r="A823" t="str">
        <f t="shared" si="12"/>
        <v/>
      </c>
      <c r="AC823" s="15"/>
    </row>
    <row r="824" spans="1:29" ht="18" customHeight="1" x14ac:dyDescent="0.2">
      <c r="A824" t="str">
        <f t="shared" si="12"/>
        <v/>
      </c>
      <c r="AC824" s="15"/>
    </row>
    <row r="825" spans="1:29" ht="18" customHeight="1" x14ac:dyDescent="0.2">
      <c r="A825" t="str">
        <f t="shared" si="12"/>
        <v/>
      </c>
      <c r="AC825" s="15"/>
    </row>
    <row r="826" spans="1:29" ht="18" customHeight="1" x14ac:dyDescent="0.2">
      <c r="A826" t="str">
        <f t="shared" si="12"/>
        <v/>
      </c>
      <c r="AC826" s="15"/>
    </row>
    <row r="827" spans="1:29" ht="18" customHeight="1" x14ac:dyDescent="0.2">
      <c r="A827" t="str">
        <f t="shared" si="12"/>
        <v/>
      </c>
      <c r="AC827" s="15"/>
    </row>
    <row r="828" spans="1:29" ht="18" customHeight="1" x14ac:dyDescent="0.2">
      <c r="A828" t="str">
        <f t="shared" si="12"/>
        <v/>
      </c>
      <c r="AC828" s="15"/>
    </row>
    <row r="829" spans="1:29" ht="18" customHeight="1" x14ac:dyDescent="0.2">
      <c r="A829" t="str">
        <f t="shared" si="12"/>
        <v/>
      </c>
      <c r="AC829" s="15"/>
    </row>
    <row r="830" spans="1:29" ht="18" customHeight="1" x14ac:dyDescent="0.2">
      <c r="A830" t="str">
        <f t="shared" si="12"/>
        <v/>
      </c>
      <c r="AC830" s="15"/>
    </row>
    <row r="831" spans="1:29" ht="18" customHeight="1" x14ac:dyDescent="0.2">
      <c r="A831" t="str">
        <f t="shared" si="12"/>
        <v/>
      </c>
      <c r="AC831" s="15"/>
    </row>
    <row r="832" spans="1:29" ht="18" customHeight="1" x14ac:dyDescent="0.2">
      <c r="A832" t="str">
        <f t="shared" si="12"/>
        <v/>
      </c>
      <c r="AC832" s="15"/>
    </row>
    <row r="833" spans="1:29" ht="18" customHeight="1" x14ac:dyDescent="0.2">
      <c r="A833" t="str">
        <f t="shared" si="12"/>
        <v/>
      </c>
      <c r="AC833" s="15"/>
    </row>
    <row r="834" spans="1:29" ht="18" customHeight="1" x14ac:dyDescent="0.2">
      <c r="A834" t="str">
        <f t="shared" si="12"/>
        <v/>
      </c>
      <c r="AC834" s="15"/>
    </row>
    <row r="835" spans="1:29" ht="18" customHeight="1" x14ac:dyDescent="0.2">
      <c r="A835" t="str">
        <f t="shared" si="12"/>
        <v/>
      </c>
      <c r="AC835" s="15"/>
    </row>
    <row r="836" spans="1:29" ht="18" customHeight="1" x14ac:dyDescent="0.2">
      <c r="A836" t="str">
        <f t="shared" si="12"/>
        <v/>
      </c>
      <c r="AC836" s="15"/>
    </row>
    <row r="837" spans="1:29" ht="18" customHeight="1" x14ac:dyDescent="0.2">
      <c r="A837" t="str">
        <f t="shared" ref="A837:A900" si="13">IF(C837&lt;&gt;"","HC/"&amp;(ROW()-4),"")</f>
        <v/>
      </c>
      <c r="AC837" s="15"/>
    </row>
    <row r="838" spans="1:29" ht="18" customHeight="1" x14ac:dyDescent="0.2">
      <c r="A838" t="str">
        <f t="shared" si="13"/>
        <v/>
      </c>
      <c r="AC838" s="15"/>
    </row>
    <row r="839" spans="1:29" ht="18" customHeight="1" x14ac:dyDescent="0.2">
      <c r="A839" t="str">
        <f t="shared" si="13"/>
        <v/>
      </c>
      <c r="AC839" s="15"/>
    </row>
    <row r="840" spans="1:29" ht="18" customHeight="1" x14ac:dyDescent="0.2">
      <c r="A840" t="str">
        <f t="shared" si="13"/>
        <v/>
      </c>
      <c r="AC840" s="15"/>
    </row>
    <row r="841" spans="1:29" ht="18" customHeight="1" x14ac:dyDescent="0.2">
      <c r="A841" t="str">
        <f t="shared" si="13"/>
        <v/>
      </c>
      <c r="AC841" s="15"/>
    </row>
    <row r="842" spans="1:29" ht="18" customHeight="1" x14ac:dyDescent="0.2">
      <c r="A842" t="str">
        <f t="shared" si="13"/>
        <v/>
      </c>
      <c r="AC842" s="15"/>
    </row>
    <row r="843" spans="1:29" ht="18" customHeight="1" x14ac:dyDescent="0.2">
      <c r="A843" t="str">
        <f t="shared" si="13"/>
        <v/>
      </c>
      <c r="AC843" s="15"/>
    </row>
    <row r="844" spans="1:29" ht="18" customHeight="1" x14ac:dyDescent="0.2">
      <c r="A844" t="str">
        <f t="shared" si="13"/>
        <v/>
      </c>
      <c r="AC844" s="15"/>
    </row>
    <row r="845" spans="1:29" ht="18" customHeight="1" x14ac:dyDescent="0.2">
      <c r="A845" t="str">
        <f t="shared" si="13"/>
        <v/>
      </c>
      <c r="AC845" s="15"/>
    </row>
    <row r="846" spans="1:29" ht="18" customHeight="1" x14ac:dyDescent="0.2">
      <c r="A846" t="str">
        <f t="shared" si="13"/>
        <v/>
      </c>
      <c r="AC846" s="15"/>
    </row>
    <row r="847" spans="1:29" ht="18" customHeight="1" x14ac:dyDescent="0.2">
      <c r="A847" t="str">
        <f t="shared" si="13"/>
        <v/>
      </c>
      <c r="AC847" s="15"/>
    </row>
    <row r="848" spans="1:29" ht="18" customHeight="1" x14ac:dyDescent="0.2">
      <c r="A848" t="str">
        <f t="shared" si="13"/>
        <v/>
      </c>
      <c r="AC848" s="15"/>
    </row>
    <row r="849" spans="1:29" ht="18" customHeight="1" x14ac:dyDescent="0.2">
      <c r="A849" t="str">
        <f t="shared" si="13"/>
        <v/>
      </c>
      <c r="AC849" s="15"/>
    </row>
    <row r="850" spans="1:29" ht="18" customHeight="1" x14ac:dyDescent="0.2">
      <c r="A850" t="str">
        <f t="shared" si="13"/>
        <v/>
      </c>
      <c r="AC850" s="15"/>
    </row>
    <row r="851" spans="1:29" ht="18" customHeight="1" x14ac:dyDescent="0.2">
      <c r="A851" t="str">
        <f t="shared" si="13"/>
        <v/>
      </c>
      <c r="AC851" s="15"/>
    </row>
    <row r="852" spans="1:29" ht="18" customHeight="1" x14ac:dyDescent="0.2">
      <c r="A852" t="str">
        <f t="shared" si="13"/>
        <v/>
      </c>
      <c r="AC852" s="15"/>
    </row>
    <row r="853" spans="1:29" ht="18" customHeight="1" x14ac:dyDescent="0.2">
      <c r="A853" t="str">
        <f t="shared" si="13"/>
        <v/>
      </c>
      <c r="AC853" s="15"/>
    </row>
    <row r="854" spans="1:29" ht="18" customHeight="1" x14ac:dyDescent="0.2">
      <c r="A854" t="str">
        <f t="shared" si="13"/>
        <v/>
      </c>
      <c r="AC854" s="15"/>
    </row>
    <row r="855" spans="1:29" ht="18" customHeight="1" x14ac:dyDescent="0.2">
      <c r="A855" t="str">
        <f t="shared" si="13"/>
        <v/>
      </c>
      <c r="AC855" s="15"/>
    </row>
    <row r="856" spans="1:29" ht="18" customHeight="1" x14ac:dyDescent="0.2">
      <c r="A856" t="str">
        <f t="shared" si="13"/>
        <v/>
      </c>
      <c r="AC856" s="15"/>
    </row>
    <row r="857" spans="1:29" ht="18" customHeight="1" x14ac:dyDescent="0.2">
      <c r="A857" t="str">
        <f t="shared" si="13"/>
        <v/>
      </c>
      <c r="AC857" s="15"/>
    </row>
    <row r="858" spans="1:29" ht="18" customHeight="1" x14ac:dyDescent="0.2">
      <c r="A858" t="str">
        <f t="shared" si="13"/>
        <v/>
      </c>
      <c r="AC858" s="15"/>
    </row>
    <row r="859" spans="1:29" ht="18" customHeight="1" x14ac:dyDescent="0.2">
      <c r="A859" t="str">
        <f t="shared" si="13"/>
        <v/>
      </c>
      <c r="AC859" s="15"/>
    </row>
    <row r="860" spans="1:29" ht="18" customHeight="1" x14ac:dyDescent="0.2">
      <c r="A860" t="str">
        <f t="shared" si="13"/>
        <v/>
      </c>
      <c r="AC860" s="15"/>
    </row>
    <row r="861" spans="1:29" ht="18" customHeight="1" x14ac:dyDescent="0.2">
      <c r="A861" t="str">
        <f t="shared" si="13"/>
        <v/>
      </c>
      <c r="AC861" s="15"/>
    </row>
    <row r="862" spans="1:29" ht="18" customHeight="1" x14ac:dyDescent="0.2">
      <c r="A862" t="str">
        <f t="shared" si="13"/>
        <v/>
      </c>
      <c r="AC862" s="15"/>
    </row>
    <row r="863" spans="1:29" ht="18" customHeight="1" x14ac:dyDescent="0.2">
      <c r="A863" t="str">
        <f t="shared" si="13"/>
        <v/>
      </c>
      <c r="AC863" s="15"/>
    </row>
    <row r="864" spans="1:29" ht="18" customHeight="1" x14ac:dyDescent="0.2">
      <c r="A864" t="str">
        <f t="shared" si="13"/>
        <v/>
      </c>
      <c r="AC864" s="15"/>
    </row>
    <row r="865" spans="1:29" ht="18" customHeight="1" x14ac:dyDescent="0.2">
      <c r="A865" t="str">
        <f t="shared" si="13"/>
        <v/>
      </c>
      <c r="AC865" s="15"/>
    </row>
    <row r="866" spans="1:29" ht="18" customHeight="1" x14ac:dyDescent="0.2">
      <c r="A866" t="str">
        <f t="shared" si="13"/>
        <v/>
      </c>
      <c r="AC866" s="15"/>
    </row>
    <row r="867" spans="1:29" ht="18" customHeight="1" x14ac:dyDescent="0.2">
      <c r="A867" t="str">
        <f t="shared" si="13"/>
        <v/>
      </c>
      <c r="AC867" s="15"/>
    </row>
    <row r="868" spans="1:29" ht="18" customHeight="1" x14ac:dyDescent="0.2">
      <c r="A868" t="str">
        <f t="shared" si="13"/>
        <v/>
      </c>
      <c r="AC868" s="15"/>
    </row>
    <row r="869" spans="1:29" ht="18" customHeight="1" x14ac:dyDescent="0.2">
      <c r="A869" t="str">
        <f t="shared" si="13"/>
        <v/>
      </c>
      <c r="AC869" s="15"/>
    </row>
    <row r="870" spans="1:29" ht="18" customHeight="1" x14ac:dyDescent="0.2">
      <c r="A870" t="str">
        <f t="shared" si="13"/>
        <v/>
      </c>
      <c r="AC870" s="15"/>
    </row>
    <row r="871" spans="1:29" ht="18" customHeight="1" x14ac:dyDescent="0.2">
      <c r="A871" t="str">
        <f t="shared" si="13"/>
        <v/>
      </c>
      <c r="AC871" s="15"/>
    </row>
    <row r="872" spans="1:29" ht="18" customHeight="1" x14ac:dyDescent="0.2">
      <c r="A872" t="str">
        <f t="shared" si="13"/>
        <v/>
      </c>
      <c r="AC872" s="15"/>
    </row>
    <row r="873" spans="1:29" ht="18" customHeight="1" x14ac:dyDescent="0.2">
      <c r="A873" t="str">
        <f t="shared" si="13"/>
        <v/>
      </c>
      <c r="AC873" s="15"/>
    </row>
    <row r="874" spans="1:29" ht="18" customHeight="1" x14ac:dyDescent="0.2">
      <c r="A874" t="str">
        <f t="shared" si="13"/>
        <v/>
      </c>
      <c r="AC874" s="15"/>
    </row>
    <row r="875" spans="1:29" ht="18" customHeight="1" x14ac:dyDescent="0.2">
      <c r="A875" t="str">
        <f t="shared" si="13"/>
        <v/>
      </c>
      <c r="AC875" s="15"/>
    </row>
    <row r="876" spans="1:29" ht="18" customHeight="1" x14ac:dyDescent="0.2">
      <c r="A876" t="str">
        <f t="shared" si="13"/>
        <v/>
      </c>
      <c r="AC876" s="15"/>
    </row>
    <row r="877" spans="1:29" ht="18" customHeight="1" x14ac:dyDescent="0.2">
      <c r="A877" t="str">
        <f t="shared" si="13"/>
        <v/>
      </c>
      <c r="AC877" s="15"/>
    </row>
    <row r="878" spans="1:29" ht="18" customHeight="1" x14ac:dyDescent="0.2">
      <c r="A878" t="str">
        <f t="shared" si="13"/>
        <v/>
      </c>
      <c r="AC878" s="15"/>
    </row>
    <row r="879" spans="1:29" ht="18" customHeight="1" x14ac:dyDescent="0.2">
      <c r="A879" t="str">
        <f t="shared" si="13"/>
        <v/>
      </c>
      <c r="AC879" s="15"/>
    </row>
    <row r="880" spans="1:29" ht="18" customHeight="1" x14ac:dyDescent="0.2">
      <c r="A880" t="str">
        <f t="shared" si="13"/>
        <v/>
      </c>
      <c r="AC880" s="15"/>
    </row>
    <row r="881" spans="1:29" ht="18" customHeight="1" x14ac:dyDescent="0.2">
      <c r="A881" t="str">
        <f t="shared" si="13"/>
        <v/>
      </c>
      <c r="AC881" s="15"/>
    </row>
    <row r="882" spans="1:29" ht="18" customHeight="1" x14ac:dyDescent="0.2">
      <c r="A882" t="str">
        <f t="shared" si="13"/>
        <v/>
      </c>
      <c r="AC882" s="15"/>
    </row>
    <row r="883" spans="1:29" ht="18" customHeight="1" x14ac:dyDescent="0.2">
      <c r="A883" t="str">
        <f t="shared" si="13"/>
        <v/>
      </c>
      <c r="AC883" s="15"/>
    </row>
    <row r="884" spans="1:29" ht="18" customHeight="1" x14ac:dyDescent="0.2">
      <c r="A884" t="str">
        <f t="shared" si="13"/>
        <v/>
      </c>
      <c r="AC884" s="15"/>
    </row>
    <row r="885" spans="1:29" ht="18" customHeight="1" x14ac:dyDescent="0.2">
      <c r="A885" t="str">
        <f t="shared" si="13"/>
        <v/>
      </c>
      <c r="AC885" s="15"/>
    </row>
    <row r="886" spans="1:29" ht="18" customHeight="1" x14ac:dyDescent="0.2">
      <c r="A886" t="str">
        <f t="shared" si="13"/>
        <v/>
      </c>
      <c r="AC886" s="15"/>
    </row>
    <row r="887" spans="1:29" ht="18" customHeight="1" x14ac:dyDescent="0.2">
      <c r="A887" t="str">
        <f t="shared" si="13"/>
        <v/>
      </c>
      <c r="AC887" s="15"/>
    </row>
    <row r="888" spans="1:29" ht="18" customHeight="1" x14ac:dyDescent="0.2">
      <c r="A888" t="str">
        <f t="shared" si="13"/>
        <v/>
      </c>
      <c r="AC888" s="15"/>
    </row>
    <row r="889" spans="1:29" ht="18" customHeight="1" x14ac:dyDescent="0.2">
      <c r="A889" t="str">
        <f t="shared" si="13"/>
        <v/>
      </c>
      <c r="AC889" s="15"/>
    </row>
    <row r="890" spans="1:29" ht="18" customHeight="1" x14ac:dyDescent="0.2">
      <c r="A890" t="str">
        <f t="shared" si="13"/>
        <v/>
      </c>
      <c r="AC890" s="15"/>
    </row>
    <row r="891" spans="1:29" ht="18" customHeight="1" x14ac:dyDescent="0.2">
      <c r="A891" t="str">
        <f t="shared" si="13"/>
        <v/>
      </c>
      <c r="AC891" s="15"/>
    </row>
    <row r="892" spans="1:29" ht="18" customHeight="1" x14ac:dyDescent="0.2">
      <c r="A892" t="str">
        <f t="shared" si="13"/>
        <v/>
      </c>
      <c r="AC892" s="15"/>
    </row>
    <row r="893" spans="1:29" ht="18" customHeight="1" x14ac:dyDescent="0.2">
      <c r="A893" t="str">
        <f t="shared" si="13"/>
        <v/>
      </c>
      <c r="AC893" s="15"/>
    </row>
    <row r="894" spans="1:29" ht="18" customHeight="1" x14ac:dyDescent="0.2">
      <c r="A894" t="str">
        <f t="shared" si="13"/>
        <v/>
      </c>
      <c r="AC894" s="15"/>
    </row>
    <row r="895" spans="1:29" ht="18" customHeight="1" x14ac:dyDescent="0.2">
      <c r="A895" t="str">
        <f t="shared" si="13"/>
        <v/>
      </c>
      <c r="AC895" s="15"/>
    </row>
    <row r="896" spans="1:29" ht="18" customHeight="1" x14ac:dyDescent="0.2">
      <c r="A896" t="str">
        <f t="shared" si="13"/>
        <v/>
      </c>
      <c r="AC896" s="15"/>
    </row>
    <row r="897" spans="1:29" ht="18" customHeight="1" x14ac:dyDescent="0.2">
      <c r="A897" t="str">
        <f t="shared" si="13"/>
        <v/>
      </c>
      <c r="AC897" s="15"/>
    </row>
    <row r="898" spans="1:29" ht="18" customHeight="1" x14ac:dyDescent="0.2">
      <c r="A898" t="str">
        <f t="shared" si="13"/>
        <v/>
      </c>
      <c r="AC898" s="15"/>
    </row>
    <row r="899" spans="1:29" ht="18" customHeight="1" x14ac:dyDescent="0.2">
      <c r="A899" t="str">
        <f t="shared" si="13"/>
        <v/>
      </c>
      <c r="AC899" s="15"/>
    </row>
    <row r="900" spans="1:29" ht="18" customHeight="1" x14ac:dyDescent="0.2">
      <c r="A900" t="str">
        <f t="shared" si="13"/>
        <v/>
      </c>
      <c r="AC900" s="15"/>
    </row>
    <row r="901" spans="1:29" ht="18" customHeight="1" x14ac:dyDescent="0.2">
      <c r="A901" t="str">
        <f t="shared" ref="A901:A964" si="14">IF(C901&lt;&gt;"","HC/"&amp;(ROW()-4),"")</f>
        <v/>
      </c>
      <c r="AC901" s="15"/>
    </row>
    <row r="902" spans="1:29" ht="18" customHeight="1" x14ac:dyDescent="0.2">
      <c r="A902" t="str">
        <f t="shared" si="14"/>
        <v/>
      </c>
      <c r="AC902" s="15"/>
    </row>
    <row r="903" spans="1:29" ht="18" customHeight="1" x14ac:dyDescent="0.2">
      <c r="A903" t="str">
        <f t="shared" si="14"/>
        <v/>
      </c>
      <c r="AC903" s="15"/>
    </row>
    <row r="904" spans="1:29" ht="18" customHeight="1" x14ac:dyDescent="0.2">
      <c r="A904" t="str">
        <f t="shared" si="14"/>
        <v/>
      </c>
      <c r="AC904" s="15"/>
    </row>
    <row r="905" spans="1:29" ht="18" customHeight="1" x14ac:dyDescent="0.2">
      <c r="A905" t="str">
        <f t="shared" si="14"/>
        <v/>
      </c>
      <c r="AC905" s="15"/>
    </row>
    <row r="906" spans="1:29" ht="18" customHeight="1" x14ac:dyDescent="0.2">
      <c r="A906" t="str">
        <f t="shared" si="14"/>
        <v/>
      </c>
      <c r="AC906" s="15"/>
    </row>
    <row r="907" spans="1:29" ht="18" customHeight="1" x14ac:dyDescent="0.2">
      <c r="A907" t="str">
        <f t="shared" si="14"/>
        <v/>
      </c>
      <c r="AC907" s="15"/>
    </row>
    <row r="908" spans="1:29" ht="18" customHeight="1" x14ac:dyDescent="0.2">
      <c r="A908" t="str">
        <f t="shared" si="14"/>
        <v/>
      </c>
      <c r="AC908" s="15"/>
    </row>
    <row r="909" spans="1:29" ht="18" customHeight="1" x14ac:dyDescent="0.2">
      <c r="A909" t="str">
        <f t="shared" si="14"/>
        <v/>
      </c>
      <c r="AC909" s="15"/>
    </row>
    <row r="910" spans="1:29" ht="18" customHeight="1" x14ac:dyDescent="0.2">
      <c r="A910" t="str">
        <f t="shared" si="14"/>
        <v/>
      </c>
      <c r="AC910" s="15"/>
    </row>
    <row r="911" spans="1:29" ht="18" customHeight="1" x14ac:dyDescent="0.2">
      <c r="A911" t="str">
        <f t="shared" si="14"/>
        <v/>
      </c>
      <c r="AC911" s="15"/>
    </row>
    <row r="912" spans="1:29" ht="18" customHeight="1" x14ac:dyDescent="0.2">
      <c r="A912" t="str">
        <f t="shared" si="14"/>
        <v/>
      </c>
      <c r="AC912" s="15"/>
    </row>
    <row r="913" spans="1:29" ht="18" customHeight="1" x14ac:dyDescent="0.2">
      <c r="A913" t="str">
        <f t="shared" si="14"/>
        <v/>
      </c>
      <c r="AC913" s="15"/>
    </row>
    <row r="914" spans="1:29" ht="18" customHeight="1" x14ac:dyDescent="0.2">
      <c r="A914" t="str">
        <f t="shared" si="14"/>
        <v/>
      </c>
      <c r="AC914" s="15"/>
    </row>
    <row r="915" spans="1:29" ht="18" customHeight="1" x14ac:dyDescent="0.2">
      <c r="A915" t="str">
        <f t="shared" si="14"/>
        <v/>
      </c>
      <c r="AC915" s="15"/>
    </row>
    <row r="916" spans="1:29" ht="18" customHeight="1" x14ac:dyDescent="0.2">
      <c r="A916" t="str">
        <f t="shared" si="14"/>
        <v/>
      </c>
      <c r="AC916" s="15"/>
    </row>
    <row r="917" spans="1:29" ht="18" customHeight="1" x14ac:dyDescent="0.2">
      <c r="A917" t="str">
        <f t="shared" si="14"/>
        <v/>
      </c>
      <c r="AC917" s="15"/>
    </row>
    <row r="918" spans="1:29" ht="18" customHeight="1" x14ac:dyDescent="0.2">
      <c r="A918" t="str">
        <f t="shared" si="14"/>
        <v/>
      </c>
      <c r="AC918" s="15"/>
    </row>
    <row r="919" spans="1:29" ht="18" customHeight="1" x14ac:dyDescent="0.2">
      <c r="A919" t="str">
        <f t="shared" si="14"/>
        <v/>
      </c>
      <c r="AC919" s="15"/>
    </row>
    <row r="920" spans="1:29" ht="18" customHeight="1" x14ac:dyDescent="0.2">
      <c r="A920" t="str">
        <f t="shared" si="14"/>
        <v/>
      </c>
      <c r="AC920" s="15"/>
    </row>
    <row r="921" spans="1:29" ht="18" customHeight="1" x14ac:dyDescent="0.2">
      <c r="A921" t="str">
        <f t="shared" si="14"/>
        <v/>
      </c>
      <c r="AC921" s="15"/>
    </row>
    <row r="922" spans="1:29" ht="18" customHeight="1" x14ac:dyDescent="0.2">
      <c r="A922" t="str">
        <f t="shared" si="14"/>
        <v/>
      </c>
      <c r="AC922" s="15"/>
    </row>
    <row r="923" spans="1:29" ht="18" customHeight="1" x14ac:dyDescent="0.2">
      <c r="A923" t="str">
        <f t="shared" si="14"/>
        <v/>
      </c>
      <c r="AC923" s="15"/>
    </row>
    <row r="924" spans="1:29" ht="18" customHeight="1" x14ac:dyDescent="0.2">
      <c r="A924" t="str">
        <f t="shared" si="14"/>
        <v/>
      </c>
      <c r="AC924" s="15"/>
    </row>
    <row r="925" spans="1:29" ht="18" customHeight="1" x14ac:dyDescent="0.2">
      <c r="A925" t="str">
        <f t="shared" si="14"/>
        <v/>
      </c>
      <c r="AC925" s="15"/>
    </row>
    <row r="926" spans="1:29" ht="18" customHeight="1" x14ac:dyDescent="0.2">
      <c r="A926" t="str">
        <f t="shared" si="14"/>
        <v/>
      </c>
      <c r="AC926" s="15"/>
    </row>
    <row r="927" spans="1:29" ht="18" customHeight="1" x14ac:dyDescent="0.2">
      <c r="A927" t="str">
        <f t="shared" si="14"/>
        <v/>
      </c>
      <c r="AC927" s="15"/>
    </row>
    <row r="928" spans="1:29" ht="18" customHeight="1" x14ac:dyDescent="0.2">
      <c r="A928" t="str">
        <f t="shared" si="14"/>
        <v/>
      </c>
      <c r="AC928" s="15"/>
    </row>
    <row r="929" spans="1:29" ht="18" customHeight="1" x14ac:dyDescent="0.2">
      <c r="A929" t="str">
        <f t="shared" si="14"/>
        <v/>
      </c>
      <c r="AC929" s="15"/>
    </row>
    <row r="930" spans="1:29" ht="18" customHeight="1" x14ac:dyDescent="0.2">
      <c r="A930" t="str">
        <f t="shared" si="14"/>
        <v/>
      </c>
      <c r="AC930" s="15"/>
    </row>
    <row r="931" spans="1:29" ht="18" customHeight="1" x14ac:dyDescent="0.2">
      <c r="A931" t="str">
        <f t="shared" si="14"/>
        <v/>
      </c>
      <c r="AC931" s="15"/>
    </row>
    <row r="932" spans="1:29" ht="18" customHeight="1" x14ac:dyDescent="0.2">
      <c r="A932" t="str">
        <f t="shared" si="14"/>
        <v/>
      </c>
      <c r="AC932" s="15"/>
    </row>
    <row r="933" spans="1:29" ht="18" customHeight="1" x14ac:dyDescent="0.2">
      <c r="A933" t="str">
        <f t="shared" si="14"/>
        <v/>
      </c>
      <c r="AC933" s="15"/>
    </row>
    <row r="934" spans="1:29" ht="18" customHeight="1" x14ac:dyDescent="0.2">
      <c r="A934" t="str">
        <f t="shared" si="14"/>
        <v/>
      </c>
      <c r="AC934" s="15"/>
    </row>
    <row r="935" spans="1:29" ht="18" customHeight="1" x14ac:dyDescent="0.2">
      <c r="A935" t="str">
        <f t="shared" si="14"/>
        <v/>
      </c>
      <c r="AC935" s="15"/>
    </row>
    <row r="936" spans="1:29" ht="18" customHeight="1" x14ac:dyDescent="0.2">
      <c r="A936" t="str">
        <f t="shared" si="14"/>
        <v/>
      </c>
      <c r="AC936" s="15"/>
    </row>
    <row r="937" spans="1:29" ht="18" customHeight="1" x14ac:dyDescent="0.2">
      <c r="A937" t="str">
        <f t="shared" si="14"/>
        <v/>
      </c>
      <c r="AC937" s="15"/>
    </row>
    <row r="938" spans="1:29" ht="18" customHeight="1" x14ac:dyDescent="0.2">
      <c r="A938" t="str">
        <f t="shared" si="14"/>
        <v/>
      </c>
      <c r="AC938" s="15"/>
    </row>
    <row r="939" spans="1:29" ht="18" customHeight="1" x14ac:dyDescent="0.2">
      <c r="A939" t="str">
        <f t="shared" si="14"/>
        <v/>
      </c>
      <c r="AC939" s="15"/>
    </row>
    <row r="940" spans="1:29" ht="18" customHeight="1" x14ac:dyDescent="0.2">
      <c r="A940" t="str">
        <f t="shared" si="14"/>
        <v/>
      </c>
      <c r="AC940" s="15"/>
    </row>
    <row r="941" spans="1:29" ht="18" customHeight="1" x14ac:dyDescent="0.2">
      <c r="A941" t="str">
        <f t="shared" si="14"/>
        <v/>
      </c>
      <c r="AC941" s="15"/>
    </row>
    <row r="942" spans="1:29" ht="18" customHeight="1" x14ac:dyDescent="0.2">
      <c r="A942" t="str">
        <f t="shared" si="14"/>
        <v/>
      </c>
      <c r="AC942" s="15"/>
    </row>
    <row r="943" spans="1:29" ht="18" customHeight="1" x14ac:dyDescent="0.2">
      <c r="A943" t="str">
        <f t="shared" si="14"/>
        <v/>
      </c>
      <c r="AC943" s="15"/>
    </row>
    <row r="944" spans="1:29" ht="18" customHeight="1" x14ac:dyDescent="0.2">
      <c r="A944" t="str">
        <f t="shared" si="14"/>
        <v/>
      </c>
      <c r="AC944" s="15"/>
    </row>
    <row r="945" spans="1:29" ht="18" customHeight="1" x14ac:dyDescent="0.2">
      <c r="A945" t="str">
        <f t="shared" si="14"/>
        <v/>
      </c>
      <c r="AC945" s="15"/>
    </row>
    <row r="946" spans="1:29" ht="18" customHeight="1" x14ac:dyDescent="0.2">
      <c r="A946" t="str">
        <f t="shared" si="14"/>
        <v/>
      </c>
      <c r="AC946" s="15"/>
    </row>
    <row r="947" spans="1:29" ht="18" customHeight="1" x14ac:dyDescent="0.2">
      <c r="A947" t="str">
        <f t="shared" si="14"/>
        <v/>
      </c>
      <c r="AC947" s="15"/>
    </row>
    <row r="948" spans="1:29" ht="18" customHeight="1" x14ac:dyDescent="0.2">
      <c r="A948" t="str">
        <f t="shared" si="14"/>
        <v/>
      </c>
      <c r="AC948" s="15"/>
    </row>
    <row r="949" spans="1:29" ht="18" customHeight="1" x14ac:dyDescent="0.2">
      <c r="A949" t="str">
        <f t="shared" si="14"/>
        <v/>
      </c>
      <c r="AC949" s="15"/>
    </row>
    <row r="950" spans="1:29" ht="18" customHeight="1" x14ac:dyDescent="0.2">
      <c r="A950" t="str">
        <f t="shared" si="14"/>
        <v/>
      </c>
      <c r="AC950" s="15"/>
    </row>
    <row r="951" spans="1:29" ht="18" customHeight="1" x14ac:dyDescent="0.2">
      <c r="A951" t="str">
        <f t="shared" si="14"/>
        <v/>
      </c>
      <c r="AC951" s="15"/>
    </row>
    <row r="952" spans="1:29" ht="18" customHeight="1" x14ac:dyDescent="0.2">
      <c r="A952" t="str">
        <f t="shared" si="14"/>
        <v/>
      </c>
      <c r="AC952" s="15"/>
    </row>
    <row r="953" spans="1:29" ht="18" customHeight="1" x14ac:dyDescent="0.2">
      <c r="A953" t="str">
        <f t="shared" si="14"/>
        <v/>
      </c>
      <c r="AC953" s="15"/>
    </row>
    <row r="954" spans="1:29" ht="18" customHeight="1" x14ac:dyDescent="0.2">
      <c r="A954" t="str">
        <f t="shared" si="14"/>
        <v/>
      </c>
      <c r="AC954" s="15"/>
    </row>
    <row r="955" spans="1:29" ht="18" customHeight="1" x14ac:dyDescent="0.2">
      <c r="A955" t="str">
        <f t="shared" si="14"/>
        <v/>
      </c>
      <c r="AC955" s="15"/>
    </row>
    <row r="956" spans="1:29" ht="18" customHeight="1" x14ac:dyDescent="0.2">
      <c r="A956" t="str">
        <f t="shared" si="14"/>
        <v/>
      </c>
      <c r="AC956" s="15"/>
    </row>
    <row r="957" spans="1:29" ht="18" customHeight="1" x14ac:dyDescent="0.2">
      <c r="A957" t="str">
        <f t="shared" si="14"/>
        <v/>
      </c>
      <c r="AC957" s="15"/>
    </row>
    <row r="958" spans="1:29" ht="18" customHeight="1" x14ac:dyDescent="0.2">
      <c r="A958" t="str">
        <f t="shared" si="14"/>
        <v/>
      </c>
      <c r="AC958" s="15"/>
    </row>
    <row r="959" spans="1:29" ht="18" customHeight="1" x14ac:dyDescent="0.2">
      <c r="A959" t="str">
        <f t="shared" si="14"/>
        <v/>
      </c>
      <c r="AC959" s="15"/>
    </row>
    <row r="960" spans="1:29" ht="18" customHeight="1" x14ac:dyDescent="0.2">
      <c r="A960" t="str">
        <f t="shared" si="14"/>
        <v/>
      </c>
      <c r="AC960" s="15"/>
    </row>
    <row r="961" spans="1:29" ht="18" customHeight="1" x14ac:dyDescent="0.2">
      <c r="A961" t="str">
        <f t="shared" si="14"/>
        <v/>
      </c>
      <c r="AC961" s="15"/>
    </row>
    <row r="962" spans="1:29" ht="18" customHeight="1" x14ac:dyDescent="0.2">
      <c r="A962" t="str">
        <f t="shared" si="14"/>
        <v/>
      </c>
      <c r="AC962" s="15"/>
    </row>
    <row r="963" spans="1:29" ht="18" customHeight="1" x14ac:dyDescent="0.2">
      <c r="A963" t="str">
        <f t="shared" si="14"/>
        <v/>
      </c>
      <c r="AC963" s="15"/>
    </row>
    <row r="964" spans="1:29" ht="18" customHeight="1" x14ac:dyDescent="0.2">
      <c r="A964" t="str">
        <f t="shared" si="14"/>
        <v/>
      </c>
      <c r="AC964" s="15"/>
    </row>
    <row r="965" spans="1:29" ht="18" customHeight="1" x14ac:dyDescent="0.2">
      <c r="A965" t="str">
        <f t="shared" ref="A965:A1004" si="15">IF(C965&lt;&gt;"","HC/"&amp;(ROW()-4),"")</f>
        <v/>
      </c>
      <c r="AC965" s="15"/>
    </row>
    <row r="966" spans="1:29" ht="18" customHeight="1" x14ac:dyDescent="0.2">
      <c r="A966" t="str">
        <f t="shared" si="15"/>
        <v/>
      </c>
      <c r="AC966" s="15"/>
    </row>
    <row r="967" spans="1:29" ht="18" customHeight="1" x14ac:dyDescent="0.2">
      <c r="A967" t="str">
        <f t="shared" si="15"/>
        <v/>
      </c>
      <c r="AC967" s="15"/>
    </row>
    <row r="968" spans="1:29" ht="18" customHeight="1" x14ac:dyDescent="0.2">
      <c r="A968" t="str">
        <f t="shared" si="15"/>
        <v/>
      </c>
      <c r="AC968" s="15"/>
    </row>
    <row r="969" spans="1:29" ht="18" customHeight="1" x14ac:dyDescent="0.2">
      <c r="A969" t="str">
        <f t="shared" si="15"/>
        <v/>
      </c>
      <c r="AC969" s="15"/>
    </row>
    <row r="970" spans="1:29" ht="18" customHeight="1" x14ac:dyDescent="0.2">
      <c r="A970" t="str">
        <f t="shared" si="15"/>
        <v/>
      </c>
      <c r="AC970" s="15"/>
    </row>
    <row r="971" spans="1:29" ht="18" customHeight="1" x14ac:dyDescent="0.2">
      <c r="A971" t="str">
        <f t="shared" si="15"/>
        <v/>
      </c>
      <c r="AC971" s="15"/>
    </row>
    <row r="972" spans="1:29" ht="18" customHeight="1" x14ac:dyDescent="0.2">
      <c r="A972" t="str">
        <f t="shared" si="15"/>
        <v/>
      </c>
      <c r="AC972" s="15"/>
    </row>
    <row r="973" spans="1:29" ht="18" customHeight="1" x14ac:dyDescent="0.2">
      <c r="A973" t="str">
        <f t="shared" si="15"/>
        <v/>
      </c>
      <c r="AC973" s="15"/>
    </row>
    <row r="974" spans="1:29" ht="18" customHeight="1" x14ac:dyDescent="0.2">
      <c r="A974" t="str">
        <f t="shared" si="15"/>
        <v/>
      </c>
      <c r="AC974" s="15"/>
    </row>
    <row r="975" spans="1:29" ht="18" customHeight="1" x14ac:dyDescent="0.2">
      <c r="A975" t="str">
        <f t="shared" si="15"/>
        <v/>
      </c>
      <c r="AC975" s="15"/>
    </row>
    <row r="976" spans="1:29" ht="18" customHeight="1" x14ac:dyDescent="0.2">
      <c r="A976" t="str">
        <f t="shared" si="15"/>
        <v/>
      </c>
      <c r="AC976" s="15"/>
    </row>
    <row r="977" spans="1:29" ht="18" customHeight="1" x14ac:dyDescent="0.2">
      <c r="A977" t="str">
        <f t="shared" si="15"/>
        <v/>
      </c>
      <c r="AC977" s="15"/>
    </row>
    <row r="978" spans="1:29" ht="18" customHeight="1" x14ac:dyDescent="0.2">
      <c r="A978" t="str">
        <f t="shared" si="15"/>
        <v/>
      </c>
      <c r="AC978" s="15"/>
    </row>
    <row r="979" spans="1:29" ht="18" customHeight="1" x14ac:dyDescent="0.2">
      <c r="A979" t="str">
        <f t="shared" si="15"/>
        <v/>
      </c>
      <c r="AC979" s="15"/>
    </row>
    <row r="980" spans="1:29" ht="18" customHeight="1" x14ac:dyDescent="0.2">
      <c r="A980" t="str">
        <f t="shared" si="15"/>
        <v/>
      </c>
      <c r="AC980" s="15"/>
    </row>
    <row r="981" spans="1:29" ht="18" customHeight="1" x14ac:dyDescent="0.2">
      <c r="A981" t="str">
        <f t="shared" si="15"/>
        <v/>
      </c>
      <c r="AC981" s="15"/>
    </row>
    <row r="982" spans="1:29" ht="18" customHeight="1" x14ac:dyDescent="0.2">
      <c r="A982" t="str">
        <f t="shared" si="15"/>
        <v/>
      </c>
      <c r="AC982" s="15"/>
    </row>
    <row r="983" spans="1:29" ht="18" customHeight="1" x14ac:dyDescent="0.2">
      <c r="A983" t="str">
        <f t="shared" si="15"/>
        <v/>
      </c>
      <c r="AC983" s="15"/>
    </row>
    <row r="984" spans="1:29" ht="18" customHeight="1" x14ac:dyDescent="0.2">
      <c r="A984" t="str">
        <f t="shared" si="15"/>
        <v/>
      </c>
      <c r="AC984" s="15"/>
    </row>
    <row r="985" spans="1:29" ht="18" customHeight="1" x14ac:dyDescent="0.2">
      <c r="A985" t="str">
        <f t="shared" si="15"/>
        <v/>
      </c>
      <c r="AC985" s="15"/>
    </row>
    <row r="986" spans="1:29" ht="18" customHeight="1" x14ac:dyDescent="0.2">
      <c r="A986" t="str">
        <f t="shared" si="15"/>
        <v/>
      </c>
      <c r="AC986" s="15"/>
    </row>
    <row r="987" spans="1:29" ht="18" customHeight="1" x14ac:dyDescent="0.2">
      <c r="A987" t="str">
        <f t="shared" si="15"/>
        <v/>
      </c>
      <c r="AC987" s="15"/>
    </row>
    <row r="988" spans="1:29" ht="18" customHeight="1" x14ac:dyDescent="0.2">
      <c r="A988" t="str">
        <f t="shared" si="15"/>
        <v/>
      </c>
      <c r="AC988" s="15"/>
    </row>
    <row r="989" spans="1:29" ht="18" customHeight="1" x14ac:dyDescent="0.2">
      <c r="A989" t="str">
        <f t="shared" si="15"/>
        <v/>
      </c>
      <c r="AC989" s="15"/>
    </row>
    <row r="990" spans="1:29" ht="18" customHeight="1" x14ac:dyDescent="0.2">
      <c r="A990" t="str">
        <f t="shared" si="15"/>
        <v/>
      </c>
      <c r="AC990" s="15"/>
    </row>
    <row r="991" spans="1:29" ht="18" customHeight="1" x14ac:dyDescent="0.2">
      <c r="A991" t="str">
        <f t="shared" si="15"/>
        <v/>
      </c>
      <c r="AC991" s="15"/>
    </row>
    <row r="992" spans="1:29" ht="18" customHeight="1" x14ac:dyDescent="0.2">
      <c r="A992" t="str">
        <f t="shared" si="15"/>
        <v/>
      </c>
      <c r="AC992" s="15"/>
    </row>
    <row r="993" spans="1:29" ht="18" customHeight="1" x14ac:dyDescent="0.2">
      <c r="A993" t="str">
        <f t="shared" si="15"/>
        <v/>
      </c>
      <c r="AC993" s="15"/>
    </row>
    <row r="994" spans="1:29" ht="18" customHeight="1" x14ac:dyDescent="0.2">
      <c r="A994" t="str">
        <f t="shared" si="15"/>
        <v/>
      </c>
      <c r="AC994" s="15"/>
    </row>
    <row r="995" spans="1:29" ht="18" customHeight="1" x14ac:dyDescent="0.2">
      <c r="A995" t="str">
        <f t="shared" si="15"/>
        <v/>
      </c>
      <c r="AC995" s="15"/>
    </row>
    <row r="996" spans="1:29" ht="18" customHeight="1" x14ac:dyDescent="0.2">
      <c r="A996" t="str">
        <f t="shared" si="15"/>
        <v/>
      </c>
      <c r="AC996" s="15"/>
    </row>
    <row r="997" spans="1:29" ht="18" customHeight="1" x14ac:dyDescent="0.2">
      <c r="A997" t="str">
        <f t="shared" si="15"/>
        <v/>
      </c>
      <c r="AC997" s="15"/>
    </row>
    <row r="998" spans="1:29" ht="18" customHeight="1" x14ac:dyDescent="0.2">
      <c r="A998" t="str">
        <f t="shared" si="15"/>
        <v/>
      </c>
      <c r="AC998" s="15"/>
    </row>
    <row r="999" spans="1:29" ht="18" customHeight="1" x14ac:dyDescent="0.2">
      <c r="A999" t="str">
        <f t="shared" si="15"/>
        <v/>
      </c>
      <c r="AC999" s="15"/>
    </row>
    <row r="1000" spans="1:29" ht="18" customHeight="1" x14ac:dyDescent="0.2">
      <c r="A1000" t="str">
        <f t="shared" si="15"/>
        <v/>
      </c>
      <c r="AC1000" s="15"/>
    </row>
    <row r="1001" spans="1:29" ht="18" customHeight="1" x14ac:dyDescent="0.2">
      <c r="A1001" t="str">
        <f t="shared" si="15"/>
        <v/>
      </c>
      <c r="AC1001" s="15"/>
    </row>
    <row r="1002" spans="1:29" ht="18" customHeight="1" x14ac:dyDescent="0.2">
      <c r="A1002" t="str">
        <f t="shared" si="15"/>
        <v/>
      </c>
      <c r="AC1002" s="15"/>
    </row>
    <row r="1003" spans="1:29" ht="18" customHeight="1" x14ac:dyDescent="0.2">
      <c r="A1003" t="str">
        <f t="shared" si="15"/>
        <v/>
      </c>
      <c r="AC1003" s="15"/>
    </row>
    <row r="1004" spans="1:29" ht="18" customHeight="1" x14ac:dyDescent="0.2">
      <c r="A1004" t="str">
        <f t="shared" si="15"/>
        <v/>
      </c>
      <c r="AC1004" s="15"/>
    </row>
  </sheetData>
  <mergeCells count="4">
    <mergeCell ref="A2:AC2"/>
    <mergeCell ref="A3:N3"/>
    <mergeCell ref="A1:AC1"/>
    <mergeCell ref="O3:V3"/>
  </mergeCells>
  <conditionalFormatting sqref="O5:V1004">
    <cfRule type="cellIs" dxfId="0" priority="2" operator="equal">
      <formula>"✓"</formula>
    </cfRule>
  </conditionalFormatting>
  <dataValidations count="17">
    <dataValidation type="list" allowBlank="1" sqref="D5:D1004" xr:uid="{00000000-0002-0000-0100-000000000000}">
      <formula1>"Omer Ul-haque,Paula Howell,Reena Malhan,Edmund Akeju,Volunteer 1,Volunteer 2,Other"</formula1>
      <formula2>0</formula2>
    </dataValidation>
    <dataValidation type="list" allowBlank="1" sqref="F5:F1004" xr:uid="{00000000-0002-0000-0100-000001000000}">
      <formula1>"Active,Closed,On Hold,Referred On,Deceased"</formula1>
      <formula2>0</formula2>
    </dataValidation>
    <dataValidation type="list" allowBlank="1" sqref="G5:G1004" xr:uid="{00000000-0002-0000-0100-000002000000}">
      <formula1>"Ealing,Hillingdon,Hounslow,Other West London"</formula1>
      <formula2>0</formula2>
    </dataValidation>
    <dataValidation type="list" allowBlank="1" sqref="H5:H1004" xr:uid="{00000000-0002-0000-0100-000003000000}">
      <formula1>"Victim Support,Age UK,MENCAP,Spectra,ECIL,MPS (Police),Local MP / Councillor,Self-Referral,CATCH,Community Security Trust,Galop,MARAC,Housing Association,Council Safer Communities,Citizens Advice,Legal Aid Organisation,Hillingdon Refugee Support Organisat"</formula1>
      <formula2>0</formula2>
    </dataValidation>
    <dataValidation type="list" allowBlank="1" sqref="I5:I1004" xr:uid="{00000000-0002-0000-0100-000004000000}">
      <formula1>"Under 18,18-25,26-55,55-65,65+,Prefer not to say"</formula1>
      <formula2>0</formula2>
    </dataValidation>
    <dataValidation type="list" allowBlank="1" sqref="J5:J1004" xr:uid="{00000000-0002-0000-0100-000005000000}">
      <formula1>"Female,Male,Non-binary,Transgender,Agender,Intersex,Fluid,Not Sure,Do not wish to state,Other"</formula1>
      <formula2>0</formula2>
    </dataValidation>
    <dataValidation type="list" allowBlank="1" sqref="K5:K1004" xr:uid="{00000000-0002-0000-0100-000006000000}">
      <formula1>"White: British,White: Irish,White: Other,Black: Caribbean,Black: African,Black: Other,Asian: Indian,Asian: Pakistani,Asian: Bangladeshi,Asian: Other,Middle Eastern,Mixed: Black/Asian,Mixed: White/Asian,Mixed: Black/White,Mixed: Other,Chinese,Other,Prefer "</formula1>
      <formula2>0</formula2>
    </dataValidation>
    <dataValidation type="list" allowBlank="1" sqref="L5:L1004" xr:uid="{00000000-0002-0000-0100-000007000000}">
      <formula1>"Christian,Muslim,Hindu,Sikh,Jewish,Buddhist,No religion,Other,Prefer not to say"</formula1>
      <formula2>0</formula2>
    </dataValidation>
    <dataValidation type="list" allowBlank="1" sqref="M5:M1004" xr:uid="{00000000-0002-0000-0100-000008000000}">
      <formula1>"High,Medium,Low"</formula1>
      <formula2>0</formula2>
    </dataValidation>
    <dataValidation type="list" allowBlank="1" sqref="N5:N1004" xr:uid="{00000000-0002-0000-0100-000009000000}">
      <formula1>"Racial,Religious,Disability,Homophobic,Transphobic,Nationality,Gender,Online,Other"</formula1>
      <formula2>0</formula2>
    </dataValidation>
    <dataValidation type="list" allowBlank="1" sqref="O5:V1004" xr:uid="{00000000-0002-0000-0100-00000A000000}">
      <formula1>"✓"</formula1>
      <formula2>0</formula2>
    </dataValidation>
    <dataValidation type="list" allowBlank="1" sqref="W5:W1004" xr:uid="{00000000-0002-0000-0100-00000B000000}">
      <formula1>"Yes,No,Yes – no action taken,Unknown"</formula1>
      <formula2>0</formula2>
    </dataValidation>
    <dataValidation type="list" allowBlank="1" sqref="X5:X1004" xr:uid="{00000000-0002-0000-0100-00000C000000}">
      <formula1>"English,Other,Interpreter needed"</formula1>
      <formula2>0</formula2>
    </dataValidation>
    <dataValidation type="list" allowBlank="1" sqref="Y5:Y1004" xr:uid="{00000000-0002-0000-0100-00000D000000}">
      <formula1>"Bi-sexual,Gay,Lesbian,MSM,Pansexual,Straight,Not Sure,Do not wish to state,Other"</formula1>
      <formula2>0</formula2>
    </dataValidation>
    <dataValidation type="list" allowBlank="1" sqref="Z5:Z1004" xr:uid="{00000000-0002-0000-0100-00000E000000}">
      <formula1>"None,Mobility,Mental Health,Other,Prefer not to say"</formula1>
      <formula2>0</formula2>
    </dataValidation>
    <dataValidation type="list" allowBlank="1" sqref="AA5:AA1004" xr:uid="{00000000-0002-0000-0100-00000F000000}">
      <formula1>"Owner occupier,Social housing,Shared accommodation,Temporary/hostel,Other"</formula1>
      <formula2>0</formula2>
    </dataValidation>
    <dataValidation type="list" allowBlank="1" sqref="AB5:AB1004" xr:uid="{00000000-0002-0000-0100-000010000000}">
      <formula1>"Year 1,Year 2,Year 3,Year 4,Year 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12"/>
  <sheetViews>
    <sheetView showGridLines="0" zoomScale="180" zoomScaleNormal="180" workbookViewId="0">
      <selection activeCell="C5" sqref="C5"/>
    </sheetView>
  </sheetViews>
  <sheetFormatPr baseColWidth="10" defaultColWidth="8.83203125" defaultRowHeight="15" customHeight="1" x14ac:dyDescent="0.2"/>
  <cols>
    <col min="1" max="1" width="14" customWidth="1"/>
    <col min="2" max="2" width="16" customWidth="1"/>
    <col min="3" max="3" width="18" customWidth="1"/>
    <col min="4" max="9" width="16" customWidth="1"/>
    <col min="10" max="10" width="13" customWidth="1"/>
    <col min="11" max="13" width="16" customWidth="1"/>
    <col min="14" max="14" width="14" customWidth="1"/>
    <col min="15" max="15" width="16" customWidth="1"/>
    <col min="16" max="16" width="13" customWidth="1"/>
    <col min="17" max="17" width="26" customWidth="1"/>
  </cols>
  <sheetData>
    <row r="1" spans="1:18" ht="37.5" customHeight="1" x14ac:dyDescent="0.2">
      <c r="A1" s="114" t="s">
        <v>175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21.75" customHeight="1" x14ac:dyDescent="0.2">
      <c r="A2" s="112" t="s">
        <v>176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ht="18" customHeight="1" x14ac:dyDescent="0.2">
      <c r="A3" s="113" t="s">
        <v>177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ht="51.75" customHeight="1" x14ac:dyDescent="0.2">
      <c r="A4" s="17" t="s">
        <v>178</v>
      </c>
      <c r="B4" s="17" t="s">
        <v>179</v>
      </c>
      <c r="C4" s="17" t="s">
        <v>180</v>
      </c>
      <c r="D4" s="17" t="s">
        <v>181</v>
      </c>
      <c r="E4" s="18" t="s">
        <v>182</v>
      </c>
      <c r="F4" s="19" t="s">
        <v>183</v>
      </c>
      <c r="G4" s="20" t="s">
        <v>184</v>
      </c>
      <c r="H4" s="21" t="s">
        <v>185</v>
      </c>
      <c r="I4" s="22" t="s">
        <v>186</v>
      </c>
      <c r="J4" s="17" t="s">
        <v>104</v>
      </c>
      <c r="K4" s="23" t="s">
        <v>187</v>
      </c>
      <c r="L4" s="23" t="s">
        <v>188</v>
      </c>
      <c r="M4" s="23" t="s">
        <v>189</v>
      </c>
      <c r="N4" s="17" t="s">
        <v>190</v>
      </c>
      <c r="O4" s="23" t="s">
        <v>191</v>
      </c>
      <c r="P4" s="17" t="s">
        <v>192</v>
      </c>
      <c r="Q4" s="17" t="s">
        <v>193</v>
      </c>
    </row>
    <row r="5" spans="1:18" ht="15" customHeight="1" x14ac:dyDescent="0.2">
      <c r="A5" t="s">
        <v>194</v>
      </c>
      <c r="B5" s="16">
        <v>46168</v>
      </c>
      <c r="C5" t="s">
        <v>195</v>
      </c>
      <c r="D5" t="s">
        <v>108</v>
      </c>
      <c r="E5" t="s">
        <v>132</v>
      </c>
      <c r="F5" t="s">
        <v>132</v>
      </c>
      <c r="G5" t="s">
        <v>132</v>
      </c>
      <c r="H5" t="s">
        <v>144</v>
      </c>
      <c r="I5" t="s">
        <v>132</v>
      </c>
      <c r="J5" t="s">
        <v>121</v>
      </c>
      <c r="K5" s="24"/>
      <c r="L5" s="24"/>
      <c r="M5" s="24"/>
      <c r="N5" t="s">
        <v>144</v>
      </c>
      <c r="O5" s="24" t="s">
        <v>132</v>
      </c>
      <c r="P5" s="25">
        <f t="shared" ref="P5:P68" si="0">IF(A5="","",COUNTIF(E5:I5,"Yes"))</f>
        <v>1</v>
      </c>
      <c r="Q5" t="s">
        <v>196</v>
      </c>
    </row>
    <row r="6" spans="1:18" ht="15" customHeight="1" x14ac:dyDescent="0.2">
      <c r="A6" t="s">
        <v>197</v>
      </c>
      <c r="B6" s="16">
        <v>46001</v>
      </c>
      <c r="C6" t="s">
        <v>195</v>
      </c>
      <c r="D6" t="s">
        <v>125</v>
      </c>
      <c r="E6" t="s">
        <v>132</v>
      </c>
      <c r="F6" t="s">
        <v>132</v>
      </c>
      <c r="G6" t="s">
        <v>132</v>
      </c>
      <c r="H6" t="s">
        <v>132</v>
      </c>
      <c r="I6" t="s">
        <v>132</v>
      </c>
      <c r="J6" t="s">
        <v>121</v>
      </c>
      <c r="K6" s="24"/>
      <c r="L6" s="24"/>
      <c r="M6" s="24"/>
      <c r="N6" t="s">
        <v>132</v>
      </c>
      <c r="O6" s="24" t="s">
        <v>132</v>
      </c>
      <c r="P6" s="25">
        <f t="shared" si="0"/>
        <v>0</v>
      </c>
      <c r="Q6" t="s">
        <v>198</v>
      </c>
    </row>
    <row r="7" spans="1:18" ht="15" customHeight="1" x14ac:dyDescent="0.2">
      <c r="A7" t="s">
        <v>199</v>
      </c>
      <c r="B7" s="16">
        <v>46037</v>
      </c>
      <c r="C7" t="s">
        <v>195</v>
      </c>
      <c r="D7" t="s">
        <v>139</v>
      </c>
      <c r="E7" t="s">
        <v>132</v>
      </c>
      <c r="F7" t="s">
        <v>132</v>
      </c>
      <c r="G7" t="s">
        <v>132</v>
      </c>
      <c r="H7" t="s">
        <v>132</v>
      </c>
      <c r="I7" t="s">
        <v>132</v>
      </c>
      <c r="J7" t="s">
        <v>121</v>
      </c>
      <c r="K7" s="24"/>
      <c r="L7" s="24"/>
      <c r="M7" s="24"/>
      <c r="N7" t="s">
        <v>144</v>
      </c>
      <c r="O7" s="24" t="s">
        <v>132</v>
      </c>
      <c r="P7" s="25">
        <f t="shared" si="0"/>
        <v>0</v>
      </c>
      <c r="Q7" t="s">
        <v>200</v>
      </c>
    </row>
    <row r="8" spans="1:18" ht="15" customHeight="1" x14ac:dyDescent="0.2">
      <c r="A8" t="s">
        <v>201</v>
      </c>
      <c r="B8" s="16">
        <v>46073</v>
      </c>
      <c r="C8" t="s">
        <v>195</v>
      </c>
      <c r="D8" t="s">
        <v>108</v>
      </c>
      <c r="E8" t="s">
        <v>144</v>
      </c>
      <c r="F8" t="s">
        <v>132</v>
      </c>
      <c r="G8" t="s">
        <v>132</v>
      </c>
      <c r="H8" t="s">
        <v>144</v>
      </c>
      <c r="I8" t="s">
        <v>132</v>
      </c>
      <c r="J8" t="s">
        <v>121</v>
      </c>
      <c r="K8" s="24"/>
      <c r="L8" s="24"/>
      <c r="M8" s="24"/>
      <c r="N8" t="s">
        <v>144</v>
      </c>
      <c r="O8" s="24" t="s">
        <v>132</v>
      </c>
      <c r="P8" s="25">
        <f t="shared" si="0"/>
        <v>2</v>
      </c>
      <c r="Q8" t="s">
        <v>202</v>
      </c>
    </row>
    <row r="9" spans="1:18" ht="15" customHeight="1" x14ac:dyDescent="0.2">
      <c r="A9" t="s">
        <v>197</v>
      </c>
      <c r="B9" s="16">
        <v>46091</v>
      </c>
      <c r="C9" t="s">
        <v>203</v>
      </c>
      <c r="D9" t="s">
        <v>125</v>
      </c>
      <c r="E9" t="s">
        <v>144</v>
      </c>
      <c r="F9" t="s">
        <v>132</v>
      </c>
      <c r="G9" t="s">
        <v>132</v>
      </c>
      <c r="H9" t="s">
        <v>144</v>
      </c>
      <c r="I9" t="s">
        <v>132</v>
      </c>
      <c r="J9" t="s">
        <v>121</v>
      </c>
      <c r="K9" s="24">
        <v>3</v>
      </c>
      <c r="L9" s="24"/>
      <c r="M9" s="24"/>
      <c r="N9" t="s">
        <v>132</v>
      </c>
      <c r="O9" s="24" t="s">
        <v>144</v>
      </c>
      <c r="P9" s="25">
        <f t="shared" si="0"/>
        <v>2</v>
      </c>
      <c r="Q9" t="s">
        <v>204</v>
      </c>
    </row>
    <row r="10" spans="1:18" ht="15" customHeight="1" x14ac:dyDescent="0.2">
      <c r="A10" t="s">
        <v>194</v>
      </c>
      <c r="B10" s="16">
        <v>46260</v>
      </c>
      <c r="C10" t="s">
        <v>203</v>
      </c>
      <c r="D10" t="s">
        <v>108</v>
      </c>
      <c r="E10" t="s">
        <v>144</v>
      </c>
      <c r="F10" t="s">
        <v>144</v>
      </c>
      <c r="G10" t="s">
        <v>132</v>
      </c>
      <c r="H10" t="s">
        <v>144</v>
      </c>
      <c r="I10" t="s">
        <v>132</v>
      </c>
      <c r="J10" t="s">
        <v>121</v>
      </c>
      <c r="K10" s="24">
        <v>4</v>
      </c>
      <c r="L10" s="24"/>
      <c r="M10" s="24"/>
      <c r="N10" t="s">
        <v>144</v>
      </c>
      <c r="O10" s="24" t="s">
        <v>132</v>
      </c>
      <c r="P10" s="25">
        <f t="shared" si="0"/>
        <v>3</v>
      </c>
      <c r="Q10" t="s">
        <v>205</v>
      </c>
    </row>
    <row r="11" spans="1:18" ht="15" customHeight="1" x14ac:dyDescent="0.2">
      <c r="A11" t="s">
        <v>199</v>
      </c>
      <c r="B11" s="16">
        <v>46218</v>
      </c>
      <c r="C11" t="s">
        <v>206</v>
      </c>
      <c r="D11" t="s">
        <v>139</v>
      </c>
      <c r="E11" t="s">
        <v>144</v>
      </c>
      <c r="F11" t="s">
        <v>144</v>
      </c>
      <c r="G11" t="s">
        <v>144</v>
      </c>
      <c r="H11" t="s">
        <v>144</v>
      </c>
      <c r="I11" t="s">
        <v>132</v>
      </c>
      <c r="J11" t="s">
        <v>121</v>
      </c>
      <c r="K11" s="24">
        <v>4</v>
      </c>
      <c r="L11" s="24">
        <v>2</v>
      </c>
      <c r="M11" s="24">
        <v>4</v>
      </c>
      <c r="N11" t="s">
        <v>144</v>
      </c>
      <c r="O11" s="24" t="s">
        <v>144</v>
      </c>
      <c r="P11" s="25">
        <f t="shared" si="0"/>
        <v>4</v>
      </c>
      <c r="Q11" t="s">
        <v>207</v>
      </c>
    </row>
    <row r="12" spans="1:18" ht="15" customHeight="1" x14ac:dyDescent="0.2">
      <c r="A12" t="s">
        <v>201</v>
      </c>
      <c r="B12" s="16">
        <v>46162</v>
      </c>
      <c r="C12" t="s">
        <v>208</v>
      </c>
      <c r="D12" t="s">
        <v>108</v>
      </c>
      <c r="E12" t="s">
        <v>144</v>
      </c>
      <c r="F12" t="s">
        <v>144</v>
      </c>
      <c r="G12" t="s">
        <v>132</v>
      </c>
      <c r="H12" t="s">
        <v>144</v>
      </c>
      <c r="I12" t="s">
        <v>132</v>
      </c>
      <c r="J12" t="s">
        <v>121</v>
      </c>
      <c r="K12" s="24">
        <v>5</v>
      </c>
      <c r="L12" s="24"/>
      <c r="M12" s="24"/>
      <c r="N12" t="s">
        <v>144</v>
      </c>
      <c r="O12" s="24" t="s">
        <v>132</v>
      </c>
      <c r="P12" s="25">
        <f t="shared" si="0"/>
        <v>3</v>
      </c>
      <c r="Q12" t="s">
        <v>209</v>
      </c>
    </row>
    <row r="13" spans="1:18" ht="15" customHeight="1" x14ac:dyDescent="0.2">
      <c r="A13" t="s">
        <v>210</v>
      </c>
      <c r="B13" s="16">
        <v>46331</v>
      </c>
      <c r="C13" t="s">
        <v>195</v>
      </c>
      <c r="D13" t="s">
        <v>125</v>
      </c>
      <c r="E13" t="s">
        <v>132</v>
      </c>
      <c r="F13" t="s">
        <v>132</v>
      </c>
      <c r="G13" t="s">
        <v>132</v>
      </c>
      <c r="H13" t="s">
        <v>132</v>
      </c>
      <c r="I13" t="s">
        <v>132</v>
      </c>
      <c r="J13" t="s">
        <v>166</v>
      </c>
      <c r="K13" s="24"/>
      <c r="L13" s="24"/>
      <c r="M13" s="24"/>
      <c r="N13" t="s">
        <v>132</v>
      </c>
      <c r="O13" s="24" t="s">
        <v>132</v>
      </c>
      <c r="P13" s="25">
        <f t="shared" si="0"/>
        <v>0</v>
      </c>
      <c r="Q13" t="s">
        <v>211</v>
      </c>
    </row>
    <row r="14" spans="1:18" ht="15" customHeight="1" x14ac:dyDescent="0.2">
      <c r="A14" t="s">
        <v>212</v>
      </c>
      <c r="B14" s="16">
        <v>46359</v>
      </c>
      <c r="C14" t="s">
        <v>195</v>
      </c>
      <c r="D14" t="s">
        <v>139</v>
      </c>
      <c r="E14" t="s">
        <v>132</v>
      </c>
      <c r="F14" t="s">
        <v>132</v>
      </c>
      <c r="G14" t="s">
        <v>132</v>
      </c>
      <c r="H14" t="s">
        <v>132</v>
      </c>
      <c r="I14" t="s">
        <v>132</v>
      </c>
      <c r="J14" t="s">
        <v>166</v>
      </c>
      <c r="K14" s="24"/>
      <c r="L14" s="24"/>
      <c r="M14" s="24"/>
      <c r="N14" t="s">
        <v>132</v>
      </c>
      <c r="O14" s="24" t="s">
        <v>132</v>
      </c>
      <c r="P14" s="25">
        <f t="shared" si="0"/>
        <v>0</v>
      </c>
      <c r="Q14" t="s">
        <v>213</v>
      </c>
    </row>
    <row r="15" spans="1:18" ht="15" customHeight="1" x14ac:dyDescent="0.2">
      <c r="K15" s="24"/>
      <c r="L15" s="24"/>
      <c r="M15" s="24"/>
      <c r="O15" s="24"/>
      <c r="P15" s="25" t="str">
        <f t="shared" si="0"/>
        <v/>
      </c>
    </row>
    <row r="16" spans="1:18" ht="15" customHeight="1" x14ac:dyDescent="0.2">
      <c r="K16" s="24"/>
      <c r="L16" s="24"/>
      <c r="M16" s="24"/>
      <c r="O16" s="24"/>
      <c r="P16" s="25" t="str">
        <f t="shared" si="0"/>
        <v/>
      </c>
    </row>
    <row r="17" spans="11:16" ht="15" customHeight="1" x14ac:dyDescent="0.2">
      <c r="K17" s="24"/>
      <c r="L17" s="24"/>
      <c r="M17" s="24"/>
      <c r="O17" s="24"/>
      <c r="P17" s="25" t="str">
        <f t="shared" si="0"/>
        <v/>
      </c>
    </row>
    <row r="18" spans="11:16" ht="15" customHeight="1" x14ac:dyDescent="0.2">
      <c r="K18" s="24"/>
      <c r="L18" s="24"/>
      <c r="M18" s="24"/>
      <c r="O18" s="24"/>
      <c r="P18" s="25" t="str">
        <f t="shared" si="0"/>
        <v/>
      </c>
    </row>
    <row r="19" spans="11:16" ht="15" customHeight="1" x14ac:dyDescent="0.2">
      <c r="K19" s="24"/>
      <c r="L19" s="24"/>
      <c r="M19" s="24"/>
      <c r="O19" s="24"/>
      <c r="P19" s="25" t="str">
        <f t="shared" si="0"/>
        <v/>
      </c>
    </row>
    <row r="20" spans="11:16" ht="15" customHeight="1" x14ac:dyDescent="0.2">
      <c r="K20" s="24"/>
      <c r="L20" s="24"/>
      <c r="M20" s="24"/>
      <c r="O20" s="24"/>
      <c r="P20" s="25" t="str">
        <f t="shared" si="0"/>
        <v/>
      </c>
    </row>
    <row r="21" spans="11:16" ht="15" customHeight="1" x14ac:dyDescent="0.2">
      <c r="K21" s="24"/>
      <c r="L21" s="24"/>
      <c r="M21" s="24"/>
      <c r="O21" s="24"/>
      <c r="P21" s="25" t="str">
        <f t="shared" si="0"/>
        <v/>
      </c>
    </row>
    <row r="22" spans="11:16" ht="15" customHeight="1" x14ac:dyDescent="0.2">
      <c r="K22" s="24"/>
      <c r="L22" s="24"/>
      <c r="M22" s="24"/>
      <c r="O22" s="24"/>
      <c r="P22" s="25" t="str">
        <f t="shared" si="0"/>
        <v/>
      </c>
    </row>
    <row r="23" spans="11:16" ht="15" customHeight="1" x14ac:dyDescent="0.2">
      <c r="K23" s="24"/>
      <c r="L23" s="24"/>
      <c r="M23" s="24"/>
      <c r="O23" s="24"/>
      <c r="P23" s="25" t="str">
        <f t="shared" si="0"/>
        <v/>
      </c>
    </row>
    <row r="24" spans="11:16" ht="15" customHeight="1" x14ac:dyDescent="0.2">
      <c r="K24" s="24"/>
      <c r="L24" s="24"/>
      <c r="M24" s="24"/>
      <c r="O24" s="24"/>
      <c r="P24" s="25" t="str">
        <f t="shared" si="0"/>
        <v/>
      </c>
    </row>
    <row r="25" spans="11:16" ht="15" customHeight="1" x14ac:dyDescent="0.2">
      <c r="K25" s="24"/>
      <c r="L25" s="24"/>
      <c r="M25" s="24"/>
      <c r="O25" s="24"/>
      <c r="P25" s="25" t="str">
        <f t="shared" si="0"/>
        <v/>
      </c>
    </row>
    <row r="26" spans="11:16" ht="15" customHeight="1" x14ac:dyDescent="0.2">
      <c r="K26" s="24"/>
      <c r="L26" s="24"/>
      <c r="M26" s="24"/>
      <c r="O26" s="24"/>
      <c r="P26" s="25" t="str">
        <f t="shared" si="0"/>
        <v/>
      </c>
    </row>
    <row r="27" spans="11:16" ht="15" customHeight="1" x14ac:dyDescent="0.2">
      <c r="K27" s="24"/>
      <c r="L27" s="24"/>
      <c r="M27" s="24"/>
      <c r="O27" s="24"/>
      <c r="P27" s="25" t="str">
        <f t="shared" si="0"/>
        <v/>
      </c>
    </row>
    <row r="28" spans="11:16" ht="15" customHeight="1" x14ac:dyDescent="0.2">
      <c r="K28" s="24"/>
      <c r="L28" s="24"/>
      <c r="M28" s="24"/>
      <c r="O28" s="24"/>
      <c r="P28" s="25" t="str">
        <f t="shared" si="0"/>
        <v/>
      </c>
    </row>
    <row r="29" spans="11:16" ht="15" customHeight="1" x14ac:dyDescent="0.2">
      <c r="K29" s="24"/>
      <c r="L29" s="24"/>
      <c r="M29" s="24"/>
      <c r="O29" s="24"/>
      <c r="P29" s="25" t="str">
        <f t="shared" si="0"/>
        <v/>
      </c>
    </row>
    <row r="30" spans="11:16" ht="15" customHeight="1" x14ac:dyDescent="0.2">
      <c r="K30" s="24"/>
      <c r="L30" s="24"/>
      <c r="M30" s="24"/>
      <c r="O30" s="24"/>
      <c r="P30" s="25" t="str">
        <f t="shared" si="0"/>
        <v/>
      </c>
    </row>
    <row r="31" spans="11:16" ht="15" customHeight="1" x14ac:dyDescent="0.2">
      <c r="K31" s="24"/>
      <c r="L31" s="24"/>
      <c r="M31" s="24"/>
      <c r="O31" s="24"/>
      <c r="P31" s="25" t="str">
        <f t="shared" si="0"/>
        <v/>
      </c>
    </row>
    <row r="32" spans="11:16" ht="15" customHeight="1" x14ac:dyDescent="0.2">
      <c r="K32" s="24"/>
      <c r="L32" s="24"/>
      <c r="M32" s="24"/>
      <c r="O32" s="24"/>
      <c r="P32" s="25" t="str">
        <f t="shared" si="0"/>
        <v/>
      </c>
    </row>
    <row r="33" spans="11:16" ht="15" customHeight="1" x14ac:dyDescent="0.2">
      <c r="K33" s="24"/>
      <c r="L33" s="24"/>
      <c r="M33" s="24"/>
      <c r="O33" s="24"/>
      <c r="P33" s="25" t="str">
        <f t="shared" si="0"/>
        <v/>
      </c>
    </row>
    <row r="34" spans="11:16" ht="15" customHeight="1" x14ac:dyDescent="0.2">
      <c r="K34" s="24"/>
      <c r="L34" s="24"/>
      <c r="M34" s="24"/>
      <c r="O34" s="24"/>
      <c r="P34" s="25" t="str">
        <f t="shared" si="0"/>
        <v/>
      </c>
    </row>
    <row r="35" spans="11:16" ht="15" customHeight="1" x14ac:dyDescent="0.2">
      <c r="K35" s="24"/>
      <c r="L35" s="24"/>
      <c r="M35" s="24"/>
      <c r="O35" s="24"/>
      <c r="P35" s="25" t="str">
        <f t="shared" si="0"/>
        <v/>
      </c>
    </row>
    <row r="36" spans="11:16" ht="15" customHeight="1" x14ac:dyDescent="0.2">
      <c r="K36" s="24"/>
      <c r="L36" s="24"/>
      <c r="M36" s="24"/>
      <c r="O36" s="24"/>
      <c r="P36" s="25" t="str">
        <f t="shared" si="0"/>
        <v/>
      </c>
    </row>
    <row r="37" spans="11:16" ht="15" customHeight="1" x14ac:dyDescent="0.2">
      <c r="K37" s="24"/>
      <c r="L37" s="24"/>
      <c r="M37" s="24"/>
      <c r="O37" s="24"/>
      <c r="P37" s="25" t="str">
        <f t="shared" si="0"/>
        <v/>
      </c>
    </row>
    <row r="38" spans="11:16" ht="15" customHeight="1" x14ac:dyDescent="0.2">
      <c r="K38" s="24"/>
      <c r="L38" s="24"/>
      <c r="M38" s="24"/>
      <c r="O38" s="24"/>
      <c r="P38" s="25" t="str">
        <f t="shared" si="0"/>
        <v/>
      </c>
    </row>
    <row r="39" spans="11:16" ht="15" customHeight="1" x14ac:dyDescent="0.2">
      <c r="K39" s="24"/>
      <c r="L39" s="24"/>
      <c r="M39" s="24"/>
      <c r="O39" s="24"/>
      <c r="P39" s="25" t="str">
        <f t="shared" si="0"/>
        <v/>
      </c>
    </row>
    <row r="40" spans="11:16" ht="15" customHeight="1" x14ac:dyDescent="0.2">
      <c r="K40" s="24"/>
      <c r="L40" s="24"/>
      <c r="M40" s="24"/>
      <c r="O40" s="24"/>
      <c r="P40" s="25" t="str">
        <f t="shared" si="0"/>
        <v/>
      </c>
    </row>
    <row r="41" spans="11:16" ht="15" customHeight="1" x14ac:dyDescent="0.2">
      <c r="K41" s="24"/>
      <c r="L41" s="24"/>
      <c r="M41" s="24"/>
      <c r="O41" s="24"/>
      <c r="P41" s="25" t="str">
        <f t="shared" si="0"/>
        <v/>
      </c>
    </row>
    <row r="42" spans="11:16" ht="15" customHeight="1" x14ac:dyDescent="0.2">
      <c r="K42" s="24"/>
      <c r="L42" s="24"/>
      <c r="M42" s="24"/>
      <c r="O42" s="24"/>
      <c r="P42" s="25" t="str">
        <f t="shared" si="0"/>
        <v/>
      </c>
    </row>
    <row r="43" spans="11:16" ht="15" customHeight="1" x14ac:dyDescent="0.2">
      <c r="K43" s="24"/>
      <c r="L43" s="24"/>
      <c r="M43" s="24"/>
      <c r="O43" s="24"/>
      <c r="P43" s="25" t="str">
        <f t="shared" si="0"/>
        <v/>
      </c>
    </row>
    <row r="44" spans="11:16" ht="15" customHeight="1" x14ac:dyDescent="0.2">
      <c r="K44" s="24"/>
      <c r="L44" s="24"/>
      <c r="M44" s="24"/>
      <c r="O44" s="24"/>
      <c r="P44" s="25" t="str">
        <f t="shared" si="0"/>
        <v/>
      </c>
    </row>
    <row r="45" spans="11:16" ht="15" customHeight="1" x14ac:dyDescent="0.2">
      <c r="K45" s="24"/>
      <c r="L45" s="24"/>
      <c r="M45" s="24"/>
      <c r="O45" s="24"/>
      <c r="P45" s="25" t="str">
        <f t="shared" si="0"/>
        <v/>
      </c>
    </row>
    <row r="46" spans="11:16" ht="15" customHeight="1" x14ac:dyDescent="0.2">
      <c r="K46" s="24"/>
      <c r="L46" s="24"/>
      <c r="M46" s="24"/>
      <c r="O46" s="24"/>
      <c r="P46" s="25" t="str">
        <f t="shared" si="0"/>
        <v/>
      </c>
    </row>
    <row r="47" spans="11:16" ht="15" customHeight="1" x14ac:dyDescent="0.2">
      <c r="K47" s="24"/>
      <c r="L47" s="24"/>
      <c r="M47" s="24"/>
      <c r="O47" s="24"/>
      <c r="P47" s="25" t="str">
        <f t="shared" si="0"/>
        <v/>
      </c>
    </row>
    <row r="48" spans="11:16" ht="15" customHeight="1" x14ac:dyDescent="0.2">
      <c r="K48" s="24"/>
      <c r="L48" s="24"/>
      <c r="M48" s="24"/>
      <c r="O48" s="24"/>
      <c r="P48" s="25" t="str">
        <f t="shared" si="0"/>
        <v/>
      </c>
    </row>
    <row r="49" spans="11:16" ht="15" customHeight="1" x14ac:dyDescent="0.2">
      <c r="K49" s="24"/>
      <c r="L49" s="24"/>
      <c r="M49" s="24"/>
      <c r="O49" s="24"/>
      <c r="P49" s="25" t="str">
        <f t="shared" si="0"/>
        <v/>
      </c>
    </row>
    <row r="50" spans="11:16" ht="15" customHeight="1" x14ac:dyDescent="0.2">
      <c r="K50" s="24"/>
      <c r="L50" s="24"/>
      <c r="M50" s="24"/>
      <c r="O50" s="24"/>
      <c r="P50" s="25" t="str">
        <f t="shared" si="0"/>
        <v/>
      </c>
    </row>
    <row r="51" spans="11:16" ht="15" customHeight="1" x14ac:dyDescent="0.2">
      <c r="K51" s="24"/>
      <c r="L51" s="24"/>
      <c r="M51" s="24"/>
      <c r="O51" s="24"/>
      <c r="P51" s="25" t="str">
        <f t="shared" si="0"/>
        <v/>
      </c>
    </row>
    <row r="52" spans="11:16" ht="15" customHeight="1" x14ac:dyDescent="0.2">
      <c r="K52" s="24"/>
      <c r="L52" s="24"/>
      <c r="M52" s="24"/>
      <c r="O52" s="24"/>
      <c r="P52" s="25" t="str">
        <f t="shared" si="0"/>
        <v/>
      </c>
    </row>
    <row r="53" spans="11:16" ht="15" customHeight="1" x14ac:dyDescent="0.2">
      <c r="K53" s="24"/>
      <c r="L53" s="24"/>
      <c r="M53" s="24"/>
      <c r="O53" s="24"/>
      <c r="P53" s="25" t="str">
        <f t="shared" si="0"/>
        <v/>
      </c>
    </row>
    <row r="54" spans="11:16" ht="15" customHeight="1" x14ac:dyDescent="0.2">
      <c r="K54" s="24"/>
      <c r="L54" s="24"/>
      <c r="M54" s="24"/>
      <c r="O54" s="24"/>
      <c r="P54" s="25" t="str">
        <f t="shared" si="0"/>
        <v/>
      </c>
    </row>
    <row r="55" spans="11:16" ht="15" customHeight="1" x14ac:dyDescent="0.2">
      <c r="K55" s="24"/>
      <c r="L55" s="24"/>
      <c r="M55" s="24"/>
      <c r="O55" s="24"/>
      <c r="P55" s="25" t="str">
        <f t="shared" si="0"/>
        <v/>
      </c>
    </row>
    <row r="56" spans="11:16" ht="15" customHeight="1" x14ac:dyDescent="0.2">
      <c r="K56" s="24"/>
      <c r="L56" s="24"/>
      <c r="M56" s="24"/>
      <c r="O56" s="24"/>
      <c r="P56" s="25" t="str">
        <f t="shared" si="0"/>
        <v/>
      </c>
    </row>
    <row r="57" spans="11:16" ht="15" customHeight="1" x14ac:dyDescent="0.2">
      <c r="K57" s="24"/>
      <c r="L57" s="24"/>
      <c r="M57" s="24"/>
      <c r="O57" s="24"/>
      <c r="P57" s="25" t="str">
        <f t="shared" si="0"/>
        <v/>
      </c>
    </row>
    <row r="58" spans="11:16" ht="15" customHeight="1" x14ac:dyDescent="0.2">
      <c r="K58" s="24"/>
      <c r="L58" s="24"/>
      <c r="M58" s="24"/>
      <c r="O58" s="24"/>
      <c r="P58" s="25" t="str">
        <f t="shared" si="0"/>
        <v/>
      </c>
    </row>
    <row r="59" spans="11:16" ht="15" customHeight="1" x14ac:dyDescent="0.2">
      <c r="K59" s="24"/>
      <c r="L59" s="24"/>
      <c r="M59" s="24"/>
      <c r="O59" s="24"/>
      <c r="P59" s="25" t="str">
        <f t="shared" si="0"/>
        <v/>
      </c>
    </row>
    <row r="60" spans="11:16" ht="15" customHeight="1" x14ac:dyDescent="0.2">
      <c r="K60" s="24"/>
      <c r="L60" s="24"/>
      <c r="M60" s="24"/>
      <c r="O60" s="24"/>
      <c r="P60" s="25" t="str">
        <f t="shared" si="0"/>
        <v/>
      </c>
    </row>
    <row r="61" spans="11:16" ht="15" customHeight="1" x14ac:dyDescent="0.2">
      <c r="K61" s="24"/>
      <c r="L61" s="24"/>
      <c r="M61" s="24"/>
      <c r="O61" s="24"/>
      <c r="P61" s="25" t="str">
        <f t="shared" si="0"/>
        <v/>
      </c>
    </row>
    <row r="62" spans="11:16" ht="15" customHeight="1" x14ac:dyDescent="0.2">
      <c r="K62" s="24"/>
      <c r="L62" s="24"/>
      <c r="M62" s="24"/>
      <c r="O62" s="24"/>
      <c r="P62" s="25" t="str">
        <f t="shared" si="0"/>
        <v/>
      </c>
    </row>
    <row r="63" spans="11:16" ht="15" customHeight="1" x14ac:dyDescent="0.2">
      <c r="K63" s="24"/>
      <c r="L63" s="24"/>
      <c r="M63" s="24"/>
      <c r="O63" s="24"/>
      <c r="P63" s="25" t="str">
        <f t="shared" si="0"/>
        <v/>
      </c>
    </row>
    <row r="64" spans="11:16" ht="15" customHeight="1" x14ac:dyDescent="0.2">
      <c r="K64" s="24"/>
      <c r="L64" s="24"/>
      <c r="M64" s="24"/>
      <c r="O64" s="24"/>
      <c r="P64" s="25" t="str">
        <f t="shared" si="0"/>
        <v/>
      </c>
    </row>
    <row r="65" spans="11:16" ht="15" customHeight="1" x14ac:dyDescent="0.2">
      <c r="K65" s="24"/>
      <c r="L65" s="24"/>
      <c r="M65" s="24"/>
      <c r="O65" s="24"/>
      <c r="P65" s="25" t="str">
        <f t="shared" si="0"/>
        <v/>
      </c>
    </row>
    <row r="66" spans="11:16" ht="15" customHeight="1" x14ac:dyDescent="0.2">
      <c r="K66" s="24"/>
      <c r="L66" s="24"/>
      <c r="M66" s="24"/>
      <c r="O66" s="24"/>
      <c r="P66" s="25" t="str">
        <f t="shared" si="0"/>
        <v/>
      </c>
    </row>
    <row r="67" spans="11:16" ht="15" customHeight="1" x14ac:dyDescent="0.2">
      <c r="K67" s="24"/>
      <c r="L67" s="24"/>
      <c r="M67" s="24"/>
      <c r="O67" s="24"/>
      <c r="P67" s="25" t="str">
        <f t="shared" si="0"/>
        <v/>
      </c>
    </row>
    <row r="68" spans="11:16" ht="15" customHeight="1" x14ac:dyDescent="0.2">
      <c r="K68" s="24"/>
      <c r="L68" s="24"/>
      <c r="M68" s="24"/>
      <c r="O68" s="24"/>
      <c r="P68" s="25" t="str">
        <f t="shared" si="0"/>
        <v/>
      </c>
    </row>
    <row r="69" spans="11:16" ht="15" customHeight="1" x14ac:dyDescent="0.2">
      <c r="K69" s="24"/>
      <c r="L69" s="24"/>
      <c r="M69" s="24"/>
      <c r="O69" s="24"/>
      <c r="P69" s="25" t="str">
        <f t="shared" ref="P69:P132" si="1">IF(A69="","",COUNTIF(E69:I69,"Yes"))</f>
        <v/>
      </c>
    </row>
    <row r="70" spans="11:16" ht="15" customHeight="1" x14ac:dyDescent="0.2">
      <c r="K70" s="24"/>
      <c r="L70" s="24"/>
      <c r="M70" s="24"/>
      <c r="O70" s="24"/>
      <c r="P70" s="25" t="str">
        <f t="shared" si="1"/>
        <v/>
      </c>
    </row>
    <row r="71" spans="11:16" ht="15" customHeight="1" x14ac:dyDescent="0.2">
      <c r="K71" s="24"/>
      <c r="L71" s="24"/>
      <c r="M71" s="24"/>
      <c r="O71" s="24"/>
      <c r="P71" s="25" t="str">
        <f t="shared" si="1"/>
        <v/>
      </c>
    </row>
    <row r="72" spans="11:16" ht="15" customHeight="1" x14ac:dyDescent="0.2">
      <c r="K72" s="24"/>
      <c r="L72" s="24"/>
      <c r="M72" s="24"/>
      <c r="O72" s="24"/>
      <c r="P72" s="25" t="str">
        <f t="shared" si="1"/>
        <v/>
      </c>
    </row>
    <row r="73" spans="11:16" ht="15" customHeight="1" x14ac:dyDescent="0.2">
      <c r="K73" s="24"/>
      <c r="L73" s="24"/>
      <c r="M73" s="24"/>
      <c r="O73" s="24"/>
      <c r="P73" s="25" t="str">
        <f t="shared" si="1"/>
        <v/>
      </c>
    </row>
    <row r="74" spans="11:16" ht="15" customHeight="1" x14ac:dyDescent="0.2">
      <c r="K74" s="24"/>
      <c r="L74" s="24"/>
      <c r="M74" s="24"/>
      <c r="O74" s="24"/>
      <c r="P74" s="25" t="str">
        <f t="shared" si="1"/>
        <v/>
      </c>
    </row>
    <row r="75" spans="11:16" ht="15" customHeight="1" x14ac:dyDescent="0.2">
      <c r="K75" s="24"/>
      <c r="L75" s="24"/>
      <c r="M75" s="24"/>
      <c r="O75" s="24"/>
      <c r="P75" s="25" t="str">
        <f t="shared" si="1"/>
        <v/>
      </c>
    </row>
    <row r="76" spans="11:16" ht="15" customHeight="1" x14ac:dyDescent="0.2">
      <c r="K76" s="24"/>
      <c r="L76" s="24"/>
      <c r="M76" s="24"/>
      <c r="O76" s="24"/>
      <c r="P76" s="25" t="str">
        <f t="shared" si="1"/>
        <v/>
      </c>
    </row>
    <row r="77" spans="11:16" ht="15" customHeight="1" x14ac:dyDescent="0.2">
      <c r="K77" s="24"/>
      <c r="L77" s="24"/>
      <c r="M77" s="24"/>
      <c r="O77" s="24"/>
      <c r="P77" s="25" t="str">
        <f t="shared" si="1"/>
        <v/>
      </c>
    </row>
    <row r="78" spans="11:16" ht="15" customHeight="1" x14ac:dyDescent="0.2">
      <c r="K78" s="24"/>
      <c r="L78" s="24"/>
      <c r="M78" s="24"/>
      <c r="O78" s="24"/>
      <c r="P78" s="25" t="str">
        <f t="shared" si="1"/>
        <v/>
      </c>
    </row>
    <row r="79" spans="11:16" ht="15" customHeight="1" x14ac:dyDescent="0.2">
      <c r="K79" s="24"/>
      <c r="L79" s="24"/>
      <c r="M79" s="24"/>
      <c r="O79" s="24"/>
      <c r="P79" s="25" t="str">
        <f t="shared" si="1"/>
        <v/>
      </c>
    </row>
    <row r="80" spans="11:16" ht="15" customHeight="1" x14ac:dyDescent="0.2">
      <c r="K80" s="24"/>
      <c r="L80" s="24"/>
      <c r="M80" s="24"/>
      <c r="O80" s="24"/>
      <c r="P80" s="25" t="str">
        <f t="shared" si="1"/>
        <v/>
      </c>
    </row>
    <row r="81" spans="11:16" ht="15" customHeight="1" x14ac:dyDescent="0.2">
      <c r="K81" s="24"/>
      <c r="L81" s="24"/>
      <c r="M81" s="24"/>
      <c r="O81" s="24"/>
      <c r="P81" s="25" t="str">
        <f t="shared" si="1"/>
        <v/>
      </c>
    </row>
    <row r="82" spans="11:16" ht="15" customHeight="1" x14ac:dyDescent="0.2">
      <c r="K82" s="24"/>
      <c r="L82" s="24"/>
      <c r="M82" s="24"/>
      <c r="O82" s="24"/>
      <c r="P82" s="25" t="str">
        <f t="shared" si="1"/>
        <v/>
      </c>
    </row>
    <row r="83" spans="11:16" ht="15" customHeight="1" x14ac:dyDescent="0.2">
      <c r="K83" s="24"/>
      <c r="L83" s="24"/>
      <c r="M83" s="24"/>
      <c r="O83" s="24"/>
      <c r="P83" s="25" t="str">
        <f t="shared" si="1"/>
        <v/>
      </c>
    </row>
    <row r="84" spans="11:16" ht="15" customHeight="1" x14ac:dyDescent="0.2">
      <c r="K84" s="24"/>
      <c r="L84" s="24"/>
      <c r="M84" s="24"/>
      <c r="O84" s="24"/>
      <c r="P84" s="25" t="str">
        <f t="shared" si="1"/>
        <v/>
      </c>
    </row>
    <row r="85" spans="11:16" ht="15" customHeight="1" x14ac:dyDescent="0.2">
      <c r="K85" s="24"/>
      <c r="L85" s="24"/>
      <c r="M85" s="24"/>
      <c r="O85" s="24"/>
      <c r="P85" s="25" t="str">
        <f t="shared" si="1"/>
        <v/>
      </c>
    </row>
    <row r="86" spans="11:16" ht="15" customHeight="1" x14ac:dyDescent="0.2">
      <c r="K86" s="24"/>
      <c r="L86" s="24"/>
      <c r="M86" s="24"/>
      <c r="O86" s="24"/>
      <c r="P86" s="25" t="str">
        <f t="shared" si="1"/>
        <v/>
      </c>
    </row>
    <row r="87" spans="11:16" ht="15" customHeight="1" x14ac:dyDescent="0.2">
      <c r="K87" s="24"/>
      <c r="L87" s="24"/>
      <c r="M87" s="24"/>
      <c r="O87" s="24"/>
      <c r="P87" s="25" t="str">
        <f t="shared" si="1"/>
        <v/>
      </c>
    </row>
    <row r="88" spans="11:16" ht="15" customHeight="1" x14ac:dyDescent="0.2">
      <c r="K88" s="24"/>
      <c r="L88" s="24"/>
      <c r="M88" s="24"/>
      <c r="O88" s="24"/>
      <c r="P88" s="25" t="str">
        <f t="shared" si="1"/>
        <v/>
      </c>
    </row>
    <row r="89" spans="11:16" ht="15" customHeight="1" x14ac:dyDescent="0.2">
      <c r="K89" s="24"/>
      <c r="L89" s="24"/>
      <c r="M89" s="24"/>
      <c r="O89" s="24"/>
      <c r="P89" s="25" t="str">
        <f t="shared" si="1"/>
        <v/>
      </c>
    </row>
    <row r="90" spans="11:16" ht="15" customHeight="1" x14ac:dyDescent="0.2">
      <c r="K90" s="24"/>
      <c r="L90" s="24"/>
      <c r="M90" s="24"/>
      <c r="O90" s="24"/>
      <c r="P90" s="25" t="str">
        <f t="shared" si="1"/>
        <v/>
      </c>
    </row>
    <row r="91" spans="11:16" ht="15" customHeight="1" x14ac:dyDescent="0.2">
      <c r="K91" s="24"/>
      <c r="L91" s="24"/>
      <c r="M91" s="24"/>
      <c r="O91" s="24"/>
      <c r="P91" s="25" t="str">
        <f t="shared" si="1"/>
        <v/>
      </c>
    </row>
    <row r="92" spans="11:16" ht="15" customHeight="1" x14ac:dyDescent="0.2">
      <c r="K92" s="24"/>
      <c r="L92" s="24"/>
      <c r="M92" s="24"/>
      <c r="O92" s="24"/>
      <c r="P92" s="25" t="str">
        <f t="shared" si="1"/>
        <v/>
      </c>
    </row>
    <row r="93" spans="11:16" ht="15" customHeight="1" x14ac:dyDescent="0.2">
      <c r="K93" s="24"/>
      <c r="L93" s="24"/>
      <c r="M93" s="24"/>
      <c r="O93" s="24"/>
      <c r="P93" s="25" t="str">
        <f t="shared" si="1"/>
        <v/>
      </c>
    </row>
    <row r="94" spans="11:16" ht="15" customHeight="1" x14ac:dyDescent="0.2">
      <c r="K94" s="24"/>
      <c r="L94" s="24"/>
      <c r="M94" s="24"/>
      <c r="O94" s="24"/>
      <c r="P94" s="25" t="str">
        <f t="shared" si="1"/>
        <v/>
      </c>
    </row>
    <row r="95" spans="11:16" ht="15" customHeight="1" x14ac:dyDescent="0.2">
      <c r="K95" s="24"/>
      <c r="L95" s="24"/>
      <c r="M95" s="24"/>
      <c r="O95" s="24"/>
      <c r="P95" s="25" t="str">
        <f t="shared" si="1"/>
        <v/>
      </c>
    </row>
    <row r="96" spans="11:16" ht="15" customHeight="1" x14ac:dyDescent="0.2">
      <c r="K96" s="24"/>
      <c r="L96" s="24"/>
      <c r="M96" s="24"/>
      <c r="O96" s="24"/>
      <c r="P96" s="25" t="str">
        <f t="shared" si="1"/>
        <v/>
      </c>
    </row>
    <row r="97" spans="11:16" ht="15" customHeight="1" x14ac:dyDescent="0.2">
      <c r="K97" s="24"/>
      <c r="L97" s="24"/>
      <c r="M97" s="24"/>
      <c r="O97" s="24"/>
      <c r="P97" s="25" t="str">
        <f t="shared" si="1"/>
        <v/>
      </c>
    </row>
    <row r="98" spans="11:16" ht="15" customHeight="1" x14ac:dyDescent="0.2">
      <c r="K98" s="24"/>
      <c r="L98" s="24"/>
      <c r="M98" s="24"/>
      <c r="O98" s="24"/>
      <c r="P98" s="25" t="str">
        <f t="shared" si="1"/>
        <v/>
      </c>
    </row>
    <row r="99" spans="11:16" ht="15" customHeight="1" x14ac:dyDescent="0.2">
      <c r="K99" s="24"/>
      <c r="L99" s="24"/>
      <c r="M99" s="24"/>
      <c r="O99" s="24"/>
      <c r="P99" s="25" t="str">
        <f t="shared" si="1"/>
        <v/>
      </c>
    </row>
    <row r="100" spans="11:16" ht="15" customHeight="1" x14ac:dyDescent="0.2">
      <c r="K100" s="24"/>
      <c r="L100" s="24"/>
      <c r="M100" s="24"/>
      <c r="O100" s="24"/>
      <c r="P100" s="25" t="str">
        <f t="shared" si="1"/>
        <v/>
      </c>
    </row>
    <row r="101" spans="11:16" ht="15" customHeight="1" x14ac:dyDescent="0.2">
      <c r="K101" s="24"/>
      <c r="L101" s="24"/>
      <c r="M101" s="24"/>
      <c r="O101" s="24"/>
      <c r="P101" s="25" t="str">
        <f t="shared" si="1"/>
        <v/>
      </c>
    </row>
    <row r="102" spans="11:16" ht="15" customHeight="1" x14ac:dyDescent="0.2">
      <c r="K102" s="24"/>
      <c r="L102" s="24"/>
      <c r="M102" s="24"/>
      <c r="O102" s="24"/>
      <c r="P102" s="25" t="str">
        <f t="shared" si="1"/>
        <v/>
      </c>
    </row>
    <row r="103" spans="11:16" ht="15" customHeight="1" x14ac:dyDescent="0.2">
      <c r="K103" s="24"/>
      <c r="L103" s="24"/>
      <c r="M103" s="24"/>
      <c r="O103" s="24"/>
      <c r="P103" s="25" t="str">
        <f t="shared" si="1"/>
        <v/>
      </c>
    </row>
    <row r="104" spans="11:16" ht="15" customHeight="1" x14ac:dyDescent="0.2">
      <c r="K104" s="24"/>
      <c r="L104" s="24"/>
      <c r="M104" s="24"/>
      <c r="O104" s="24"/>
      <c r="P104" s="25" t="str">
        <f t="shared" si="1"/>
        <v/>
      </c>
    </row>
    <row r="105" spans="11:16" ht="15" customHeight="1" x14ac:dyDescent="0.2">
      <c r="K105" s="24"/>
      <c r="L105" s="24"/>
      <c r="M105" s="24"/>
      <c r="O105" s="24"/>
      <c r="P105" s="25" t="str">
        <f t="shared" si="1"/>
        <v/>
      </c>
    </row>
    <row r="106" spans="11:16" ht="15" customHeight="1" x14ac:dyDescent="0.2">
      <c r="K106" s="24"/>
      <c r="L106" s="24"/>
      <c r="M106" s="24"/>
      <c r="O106" s="24"/>
      <c r="P106" s="25" t="str">
        <f t="shared" si="1"/>
        <v/>
      </c>
    </row>
    <row r="107" spans="11:16" ht="15" customHeight="1" x14ac:dyDescent="0.2">
      <c r="K107" s="24"/>
      <c r="L107" s="24"/>
      <c r="M107" s="24"/>
      <c r="O107" s="24"/>
      <c r="P107" s="25" t="str">
        <f t="shared" si="1"/>
        <v/>
      </c>
    </row>
    <row r="108" spans="11:16" ht="15" customHeight="1" x14ac:dyDescent="0.2">
      <c r="K108" s="24"/>
      <c r="L108" s="24"/>
      <c r="M108" s="24"/>
      <c r="O108" s="24"/>
      <c r="P108" s="25" t="str">
        <f t="shared" si="1"/>
        <v/>
      </c>
    </row>
    <row r="109" spans="11:16" ht="15" customHeight="1" x14ac:dyDescent="0.2">
      <c r="K109" s="24"/>
      <c r="L109" s="24"/>
      <c r="M109" s="24"/>
      <c r="O109" s="24"/>
      <c r="P109" s="25" t="str">
        <f t="shared" si="1"/>
        <v/>
      </c>
    </row>
    <row r="110" spans="11:16" ht="15" customHeight="1" x14ac:dyDescent="0.2">
      <c r="K110" s="24"/>
      <c r="L110" s="24"/>
      <c r="M110" s="24"/>
      <c r="O110" s="24"/>
      <c r="P110" s="25" t="str">
        <f t="shared" si="1"/>
        <v/>
      </c>
    </row>
    <row r="111" spans="11:16" ht="15" customHeight="1" x14ac:dyDescent="0.2">
      <c r="K111" s="24"/>
      <c r="L111" s="24"/>
      <c r="M111" s="24"/>
      <c r="O111" s="24"/>
      <c r="P111" s="25" t="str">
        <f t="shared" si="1"/>
        <v/>
      </c>
    </row>
    <row r="112" spans="11:16" ht="15" customHeight="1" x14ac:dyDescent="0.2">
      <c r="K112" s="24"/>
      <c r="L112" s="24"/>
      <c r="M112" s="24"/>
      <c r="O112" s="24"/>
      <c r="P112" s="25" t="str">
        <f t="shared" si="1"/>
        <v/>
      </c>
    </row>
    <row r="113" spans="11:16" ht="15" customHeight="1" x14ac:dyDescent="0.2">
      <c r="K113" s="24"/>
      <c r="L113" s="24"/>
      <c r="M113" s="24"/>
      <c r="O113" s="24"/>
      <c r="P113" s="25" t="str">
        <f t="shared" si="1"/>
        <v/>
      </c>
    </row>
    <row r="114" spans="11:16" ht="15" customHeight="1" x14ac:dyDescent="0.2">
      <c r="K114" s="24"/>
      <c r="L114" s="24"/>
      <c r="M114" s="24"/>
      <c r="O114" s="24"/>
      <c r="P114" s="25" t="str">
        <f t="shared" si="1"/>
        <v/>
      </c>
    </row>
    <row r="115" spans="11:16" ht="15" customHeight="1" x14ac:dyDescent="0.2">
      <c r="K115" s="24"/>
      <c r="L115" s="24"/>
      <c r="M115" s="24"/>
      <c r="O115" s="24"/>
      <c r="P115" s="25" t="str">
        <f t="shared" si="1"/>
        <v/>
      </c>
    </row>
    <row r="116" spans="11:16" ht="15" customHeight="1" x14ac:dyDescent="0.2">
      <c r="K116" s="24"/>
      <c r="L116" s="24"/>
      <c r="M116" s="24"/>
      <c r="O116" s="24"/>
      <c r="P116" s="25" t="str">
        <f t="shared" si="1"/>
        <v/>
      </c>
    </row>
    <row r="117" spans="11:16" ht="15" customHeight="1" x14ac:dyDescent="0.2">
      <c r="K117" s="24"/>
      <c r="L117" s="24"/>
      <c r="M117" s="24"/>
      <c r="O117" s="24"/>
      <c r="P117" s="25" t="str">
        <f t="shared" si="1"/>
        <v/>
      </c>
    </row>
    <row r="118" spans="11:16" ht="15" customHeight="1" x14ac:dyDescent="0.2">
      <c r="K118" s="24"/>
      <c r="L118" s="24"/>
      <c r="M118" s="24"/>
      <c r="O118" s="24"/>
      <c r="P118" s="25" t="str">
        <f t="shared" si="1"/>
        <v/>
      </c>
    </row>
    <row r="119" spans="11:16" ht="15" customHeight="1" x14ac:dyDescent="0.2">
      <c r="K119" s="24"/>
      <c r="L119" s="24"/>
      <c r="M119" s="24"/>
      <c r="O119" s="24"/>
      <c r="P119" s="25" t="str">
        <f t="shared" si="1"/>
        <v/>
      </c>
    </row>
    <row r="120" spans="11:16" ht="15" customHeight="1" x14ac:dyDescent="0.2">
      <c r="K120" s="24"/>
      <c r="L120" s="24"/>
      <c r="M120" s="24"/>
      <c r="O120" s="24"/>
      <c r="P120" s="25" t="str">
        <f t="shared" si="1"/>
        <v/>
      </c>
    </row>
    <row r="121" spans="11:16" ht="15" customHeight="1" x14ac:dyDescent="0.2">
      <c r="K121" s="24"/>
      <c r="L121" s="24"/>
      <c r="M121" s="24"/>
      <c r="O121" s="24"/>
      <c r="P121" s="25" t="str">
        <f t="shared" si="1"/>
        <v/>
      </c>
    </row>
    <row r="122" spans="11:16" ht="15" customHeight="1" x14ac:dyDescent="0.2">
      <c r="K122" s="24"/>
      <c r="L122" s="24"/>
      <c r="M122" s="24"/>
      <c r="O122" s="24"/>
      <c r="P122" s="25" t="str">
        <f t="shared" si="1"/>
        <v/>
      </c>
    </row>
    <row r="123" spans="11:16" ht="15" customHeight="1" x14ac:dyDescent="0.2">
      <c r="K123" s="24"/>
      <c r="L123" s="24"/>
      <c r="M123" s="24"/>
      <c r="O123" s="24"/>
      <c r="P123" s="25" t="str">
        <f t="shared" si="1"/>
        <v/>
      </c>
    </row>
    <row r="124" spans="11:16" ht="15" customHeight="1" x14ac:dyDescent="0.2">
      <c r="K124" s="24"/>
      <c r="L124" s="24"/>
      <c r="M124" s="24"/>
      <c r="O124" s="24"/>
      <c r="P124" s="25" t="str">
        <f t="shared" si="1"/>
        <v/>
      </c>
    </row>
    <row r="125" spans="11:16" ht="15" customHeight="1" x14ac:dyDescent="0.2">
      <c r="K125" s="24"/>
      <c r="L125" s="24"/>
      <c r="M125" s="24"/>
      <c r="O125" s="24"/>
      <c r="P125" s="25" t="str">
        <f t="shared" si="1"/>
        <v/>
      </c>
    </row>
    <row r="126" spans="11:16" ht="15" customHeight="1" x14ac:dyDescent="0.2">
      <c r="K126" s="24"/>
      <c r="L126" s="24"/>
      <c r="M126" s="24"/>
      <c r="O126" s="24"/>
      <c r="P126" s="25" t="str">
        <f t="shared" si="1"/>
        <v/>
      </c>
    </row>
    <row r="127" spans="11:16" ht="15" customHeight="1" x14ac:dyDescent="0.2">
      <c r="K127" s="24"/>
      <c r="L127" s="24"/>
      <c r="M127" s="24"/>
      <c r="O127" s="24"/>
      <c r="P127" s="25" t="str">
        <f t="shared" si="1"/>
        <v/>
      </c>
    </row>
    <row r="128" spans="11:16" ht="15" customHeight="1" x14ac:dyDescent="0.2">
      <c r="K128" s="24"/>
      <c r="L128" s="24"/>
      <c r="M128" s="24"/>
      <c r="O128" s="24"/>
      <c r="P128" s="25" t="str">
        <f t="shared" si="1"/>
        <v/>
      </c>
    </row>
    <row r="129" spans="11:16" ht="15" customHeight="1" x14ac:dyDescent="0.2">
      <c r="K129" s="24"/>
      <c r="L129" s="24"/>
      <c r="M129" s="24"/>
      <c r="O129" s="24"/>
      <c r="P129" s="25" t="str">
        <f t="shared" si="1"/>
        <v/>
      </c>
    </row>
    <row r="130" spans="11:16" ht="15" customHeight="1" x14ac:dyDescent="0.2">
      <c r="K130" s="24"/>
      <c r="L130" s="24"/>
      <c r="M130" s="24"/>
      <c r="O130" s="24"/>
      <c r="P130" s="25" t="str">
        <f t="shared" si="1"/>
        <v/>
      </c>
    </row>
    <row r="131" spans="11:16" ht="15" customHeight="1" x14ac:dyDescent="0.2">
      <c r="K131" s="24"/>
      <c r="L131" s="24"/>
      <c r="M131" s="24"/>
      <c r="O131" s="24"/>
      <c r="P131" s="25" t="str">
        <f t="shared" si="1"/>
        <v/>
      </c>
    </row>
    <row r="132" spans="11:16" ht="15" customHeight="1" x14ac:dyDescent="0.2">
      <c r="K132" s="24"/>
      <c r="L132" s="24"/>
      <c r="M132" s="24"/>
      <c r="O132" s="24"/>
      <c r="P132" s="25" t="str">
        <f t="shared" si="1"/>
        <v/>
      </c>
    </row>
    <row r="133" spans="11:16" ht="15" customHeight="1" x14ac:dyDescent="0.2">
      <c r="K133" s="24"/>
      <c r="L133" s="24"/>
      <c r="M133" s="24"/>
      <c r="O133" s="24"/>
      <c r="P133" s="25" t="str">
        <f t="shared" ref="P133:P196" si="2">IF(A133="","",COUNTIF(E133:I133,"Yes"))</f>
        <v/>
      </c>
    </row>
    <row r="134" spans="11:16" ht="15" customHeight="1" x14ac:dyDescent="0.2">
      <c r="K134" s="24"/>
      <c r="L134" s="24"/>
      <c r="M134" s="24"/>
      <c r="O134" s="24"/>
      <c r="P134" s="25" t="str">
        <f t="shared" si="2"/>
        <v/>
      </c>
    </row>
    <row r="135" spans="11:16" ht="15" customHeight="1" x14ac:dyDescent="0.2">
      <c r="K135" s="24"/>
      <c r="L135" s="24"/>
      <c r="M135" s="24"/>
      <c r="O135" s="24"/>
      <c r="P135" s="25" t="str">
        <f t="shared" si="2"/>
        <v/>
      </c>
    </row>
    <row r="136" spans="11:16" ht="15" customHeight="1" x14ac:dyDescent="0.2">
      <c r="K136" s="24"/>
      <c r="L136" s="24"/>
      <c r="M136" s="24"/>
      <c r="O136" s="24"/>
      <c r="P136" s="25" t="str">
        <f t="shared" si="2"/>
        <v/>
      </c>
    </row>
    <row r="137" spans="11:16" ht="15" customHeight="1" x14ac:dyDescent="0.2">
      <c r="K137" s="24"/>
      <c r="L137" s="24"/>
      <c r="M137" s="24"/>
      <c r="O137" s="24"/>
      <c r="P137" s="25" t="str">
        <f t="shared" si="2"/>
        <v/>
      </c>
    </row>
    <row r="138" spans="11:16" ht="15" customHeight="1" x14ac:dyDescent="0.2">
      <c r="K138" s="24"/>
      <c r="L138" s="24"/>
      <c r="M138" s="24"/>
      <c r="O138" s="24"/>
      <c r="P138" s="25" t="str">
        <f t="shared" si="2"/>
        <v/>
      </c>
    </row>
    <row r="139" spans="11:16" ht="15" customHeight="1" x14ac:dyDescent="0.2">
      <c r="K139" s="24"/>
      <c r="L139" s="24"/>
      <c r="M139" s="24"/>
      <c r="O139" s="24"/>
      <c r="P139" s="25" t="str">
        <f t="shared" si="2"/>
        <v/>
      </c>
    </row>
    <row r="140" spans="11:16" ht="15" customHeight="1" x14ac:dyDescent="0.2">
      <c r="K140" s="24"/>
      <c r="L140" s="24"/>
      <c r="M140" s="24"/>
      <c r="O140" s="24"/>
      <c r="P140" s="25" t="str">
        <f t="shared" si="2"/>
        <v/>
      </c>
    </row>
    <row r="141" spans="11:16" ht="15" customHeight="1" x14ac:dyDescent="0.2">
      <c r="K141" s="24"/>
      <c r="L141" s="24"/>
      <c r="M141" s="24"/>
      <c r="O141" s="24"/>
      <c r="P141" s="25" t="str">
        <f t="shared" si="2"/>
        <v/>
      </c>
    </row>
    <row r="142" spans="11:16" ht="15" customHeight="1" x14ac:dyDescent="0.2">
      <c r="K142" s="24"/>
      <c r="L142" s="24"/>
      <c r="M142" s="24"/>
      <c r="O142" s="24"/>
      <c r="P142" s="25" t="str">
        <f t="shared" si="2"/>
        <v/>
      </c>
    </row>
    <row r="143" spans="11:16" ht="15" customHeight="1" x14ac:dyDescent="0.2">
      <c r="K143" s="24"/>
      <c r="L143" s="24"/>
      <c r="M143" s="24"/>
      <c r="O143" s="24"/>
      <c r="P143" s="25" t="str">
        <f t="shared" si="2"/>
        <v/>
      </c>
    </row>
    <row r="144" spans="11:16" ht="15" customHeight="1" x14ac:dyDescent="0.2">
      <c r="K144" s="24"/>
      <c r="L144" s="24"/>
      <c r="M144" s="24"/>
      <c r="O144" s="24"/>
      <c r="P144" s="25" t="str">
        <f t="shared" si="2"/>
        <v/>
      </c>
    </row>
    <row r="145" spans="11:16" ht="15" customHeight="1" x14ac:dyDescent="0.2">
      <c r="K145" s="24"/>
      <c r="L145" s="24"/>
      <c r="M145" s="24"/>
      <c r="O145" s="24"/>
      <c r="P145" s="25" t="str">
        <f t="shared" si="2"/>
        <v/>
      </c>
    </row>
    <row r="146" spans="11:16" ht="15" customHeight="1" x14ac:dyDescent="0.2">
      <c r="K146" s="24"/>
      <c r="L146" s="24"/>
      <c r="M146" s="24"/>
      <c r="O146" s="24"/>
      <c r="P146" s="25" t="str">
        <f t="shared" si="2"/>
        <v/>
      </c>
    </row>
    <row r="147" spans="11:16" ht="15" customHeight="1" x14ac:dyDescent="0.2">
      <c r="K147" s="24"/>
      <c r="L147" s="24"/>
      <c r="M147" s="24"/>
      <c r="O147" s="24"/>
      <c r="P147" s="25" t="str">
        <f t="shared" si="2"/>
        <v/>
      </c>
    </row>
    <row r="148" spans="11:16" ht="15" customHeight="1" x14ac:dyDescent="0.2">
      <c r="K148" s="24"/>
      <c r="L148" s="24"/>
      <c r="M148" s="24"/>
      <c r="O148" s="24"/>
      <c r="P148" s="25" t="str">
        <f t="shared" si="2"/>
        <v/>
      </c>
    </row>
    <row r="149" spans="11:16" ht="15" customHeight="1" x14ac:dyDescent="0.2">
      <c r="K149" s="24"/>
      <c r="L149" s="24"/>
      <c r="M149" s="24"/>
      <c r="O149" s="24"/>
      <c r="P149" s="25" t="str">
        <f t="shared" si="2"/>
        <v/>
      </c>
    </row>
    <row r="150" spans="11:16" ht="15" customHeight="1" x14ac:dyDescent="0.2">
      <c r="K150" s="24"/>
      <c r="L150" s="24"/>
      <c r="M150" s="24"/>
      <c r="O150" s="24"/>
      <c r="P150" s="25" t="str">
        <f t="shared" si="2"/>
        <v/>
      </c>
    </row>
    <row r="151" spans="11:16" ht="15" customHeight="1" x14ac:dyDescent="0.2">
      <c r="K151" s="24"/>
      <c r="L151" s="24"/>
      <c r="M151" s="24"/>
      <c r="O151" s="24"/>
      <c r="P151" s="25" t="str">
        <f t="shared" si="2"/>
        <v/>
      </c>
    </row>
    <row r="152" spans="11:16" ht="15" customHeight="1" x14ac:dyDescent="0.2">
      <c r="K152" s="24"/>
      <c r="L152" s="24"/>
      <c r="M152" s="24"/>
      <c r="O152" s="24"/>
      <c r="P152" s="25" t="str">
        <f t="shared" si="2"/>
        <v/>
      </c>
    </row>
    <row r="153" spans="11:16" ht="15" customHeight="1" x14ac:dyDescent="0.2">
      <c r="K153" s="24"/>
      <c r="L153" s="24"/>
      <c r="M153" s="24"/>
      <c r="O153" s="24"/>
      <c r="P153" s="25" t="str">
        <f t="shared" si="2"/>
        <v/>
      </c>
    </row>
    <row r="154" spans="11:16" ht="15" customHeight="1" x14ac:dyDescent="0.2">
      <c r="K154" s="24"/>
      <c r="L154" s="24"/>
      <c r="M154" s="24"/>
      <c r="O154" s="24"/>
      <c r="P154" s="25" t="str">
        <f t="shared" si="2"/>
        <v/>
      </c>
    </row>
    <row r="155" spans="11:16" ht="15" customHeight="1" x14ac:dyDescent="0.2">
      <c r="K155" s="24"/>
      <c r="L155" s="24"/>
      <c r="M155" s="24"/>
      <c r="O155" s="24"/>
      <c r="P155" s="25" t="str">
        <f t="shared" si="2"/>
        <v/>
      </c>
    </row>
    <row r="156" spans="11:16" ht="15" customHeight="1" x14ac:dyDescent="0.2">
      <c r="K156" s="24"/>
      <c r="L156" s="24"/>
      <c r="M156" s="24"/>
      <c r="O156" s="24"/>
      <c r="P156" s="25" t="str">
        <f t="shared" si="2"/>
        <v/>
      </c>
    </row>
    <row r="157" spans="11:16" ht="15" customHeight="1" x14ac:dyDescent="0.2">
      <c r="K157" s="24"/>
      <c r="L157" s="24"/>
      <c r="M157" s="24"/>
      <c r="O157" s="24"/>
      <c r="P157" s="25" t="str">
        <f t="shared" si="2"/>
        <v/>
      </c>
    </row>
    <row r="158" spans="11:16" ht="15" customHeight="1" x14ac:dyDescent="0.2">
      <c r="K158" s="24"/>
      <c r="L158" s="24"/>
      <c r="M158" s="24"/>
      <c r="O158" s="24"/>
      <c r="P158" s="25" t="str">
        <f t="shared" si="2"/>
        <v/>
      </c>
    </row>
    <row r="159" spans="11:16" ht="15" customHeight="1" x14ac:dyDescent="0.2">
      <c r="K159" s="24"/>
      <c r="L159" s="24"/>
      <c r="M159" s="24"/>
      <c r="O159" s="24"/>
      <c r="P159" s="25" t="str">
        <f t="shared" si="2"/>
        <v/>
      </c>
    </row>
    <row r="160" spans="11:16" ht="15" customHeight="1" x14ac:dyDescent="0.2">
      <c r="K160" s="24"/>
      <c r="L160" s="24"/>
      <c r="M160" s="24"/>
      <c r="O160" s="24"/>
      <c r="P160" s="25" t="str">
        <f t="shared" si="2"/>
        <v/>
      </c>
    </row>
    <row r="161" spans="11:16" ht="15" customHeight="1" x14ac:dyDescent="0.2">
      <c r="K161" s="24"/>
      <c r="L161" s="24"/>
      <c r="M161" s="24"/>
      <c r="O161" s="24"/>
      <c r="P161" s="25" t="str">
        <f t="shared" si="2"/>
        <v/>
      </c>
    </row>
    <row r="162" spans="11:16" ht="15" customHeight="1" x14ac:dyDescent="0.2">
      <c r="K162" s="24"/>
      <c r="L162" s="24"/>
      <c r="M162" s="24"/>
      <c r="O162" s="24"/>
      <c r="P162" s="25" t="str">
        <f t="shared" si="2"/>
        <v/>
      </c>
    </row>
    <row r="163" spans="11:16" ht="15" customHeight="1" x14ac:dyDescent="0.2">
      <c r="K163" s="24"/>
      <c r="L163" s="24"/>
      <c r="M163" s="24"/>
      <c r="O163" s="24"/>
      <c r="P163" s="25" t="str">
        <f t="shared" si="2"/>
        <v/>
      </c>
    </row>
    <row r="164" spans="11:16" ht="15" customHeight="1" x14ac:dyDescent="0.2">
      <c r="K164" s="24"/>
      <c r="L164" s="24"/>
      <c r="M164" s="24"/>
      <c r="O164" s="24"/>
      <c r="P164" s="25" t="str">
        <f t="shared" si="2"/>
        <v/>
      </c>
    </row>
    <row r="165" spans="11:16" ht="15" customHeight="1" x14ac:dyDescent="0.2">
      <c r="K165" s="24"/>
      <c r="L165" s="24"/>
      <c r="M165" s="24"/>
      <c r="O165" s="24"/>
      <c r="P165" s="25" t="str">
        <f t="shared" si="2"/>
        <v/>
      </c>
    </row>
    <row r="166" spans="11:16" ht="15" customHeight="1" x14ac:dyDescent="0.2">
      <c r="K166" s="24"/>
      <c r="L166" s="24"/>
      <c r="M166" s="24"/>
      <c r="O166" s="24"/>
      <c r="P166" s="25" t="str">
        <f t="shared" si="2"/>
        <v/>
      </c>
    </row>
    <row r="167" spans="11:16" ht="15" customHeight="1" x14ac:dyDescent="0.2">
      <c r="K167" s="24"/>
      <c r="L167" s="24"/>
      <c r="M167" s="24"/>
      <c r="O167" s="24"/>
      <c r="P167" s="25" t="str">
        <f t="shared" si="2"/>
        <v/>
      </c>
    </row>
    <row r="168" spans="11:16" ht="15" customHeight="1" x14ac:dyDescent="0.2">
      <c r="K168" s="24"/>
      <c r="L168" s="24"/>
      <c r="M168" s="24"/>
      <c r="O168" s="24"/>
      <c r="P168" s="25" t="str">
        <f t="shared" si="2"/>
        <v/>
      </c>
    </row>
    <row r="169" spans="11:16" ht="15" customHeight="1" x14ac:dyDescent="0.2">
      <c r="K169" s="24"/>
      <c r="L169" s="24"/>
      <c r="M169" s="24"/>
      <c r="O169" s="24"/>
      <c r="P169" s="25" t="str">
        <f t="shared" si="2"/>
        <v/>
      </c>
    </row>
    <row r="170" spans="11:16" ht="15" customHeight="1" x14ac:dyDescent="0.2">
      <c r="K170" s="24"/>
      <c r="L170" s="24"/>
      <c r="M170" s="24"/>
      <c r="O170" s="24"/>
      <c r="P170" s="25" t="str">
        <f t="shared" si="2"/>
        <v/>
      </c>
    </row>
    <row r="171" spans="11:16" ht="15" customHeight="1" x14ac:dyDescent="0.2">
      <c r="K171" s="24"/>
      <c r="L171" s="24"/>
      <c r="M171" s="24"/>
      <c r="O171" s="24"/>
      <c r="P171" s="25" t="str">
        <f t="shared" si="2"/>
        <v/>
      </c>
    </row>
    <row r="172" spans="11:16" ht="15" customHeight="1" x14ac:dyDescent="0.2">
      <c r="K172" s="24"/>
      <c r="L172" s="24"/>
      <c r="M172" s="24"/>
      <c r="O172" s="24"/>
      <c r="P172" s="25" t="str">
        <f t="shared" si="2"/>
        <v/>
      </c>
    </row>
    <row r="173" spans="11:16" ht="15" customHeight="1" x14ac:dyDescent="0.2">
      <c r="K173" s="24"/>
      <c r="L173" s="24"/>
      <c r="M173" s="24"/>
      <c r="O173" s="24"/>
      <c r="P173" s="25" t="str">
        <f t="shared" si="2"/>
        <v/>
      </c>
    </row>
    <row r="174" spans="11:16" ht="15" customHeight="1" x14ac:dyDescent="0.2">
      <c r="K174" s="24"/>
      <c r="L174" s="24"/>
      <c r="M174" s="24"/>
      <c r="O174" s="24"/>
      <c r="P174" s="25" t="str">
        <f t="shared" si="2"/>
        <v/>
      </c>
    </row>
    <row r="175" spans="11:16" ht="15" customHeight="1" x14ac:dyDescent="0.2">
      <c r="K175" s="24"/>
      <c r="L175" s="24"/>
      <c r="M175" s="24"/>
      <c r="O175" s="24"/>
      <c r="P175" s="25" t="str">
        <f t="shared" si="2"/>
        <v/>
      </c>
    </row>
    <row r="176" spans="11:16" ht="15" customHeight="1" x14ac:dyDescent="0.2">
      <c r="K176" s="24"/>
      <c r="L176" s="24"/>
      <c r="M176" s="24"/>
      <c r="O176" s="24"/>
      <c r="P176" s="25" t="str">
        <f t="shared" si="2"/>
        <v/>
      </c>
    </row>
    <row r="177" spans="11:16" ht="15" customHeight="1" x14ac:dyDescent="0.2">
      <c r="K177" s="24"/>
      <c r="L177" s="24"/>
      <c r="M177" s="24"/>
      <c r="O177" s="24"/>
      <c r="P177" s="25" t="str">
        <f t="shared" si="2"/>
        <v/>
      </c>
    </row>
    <row r="178" spans="11:16" ht="15" customHeight="1" x14ac:dyDescent="0.2">
      <c r="K178" s="24"/>
      <c r="L178" s="24"/>
      <c r="M178" s="24"/>
      <c r="O178" s="24"/>
      <c r="P178" s="25" t="str">
        <f t="shared" si="2"/>
        <v/>
      </c>
    </row>
    <row r="179" spans="11:16" ht="15" customHeight="1" x14ac:dyDescent="0.2">
      <c r="K179" s="24"/>
      <c r="L179" s="24"/>
      <c r="M179" s="24"/>
      <c r="O179" s="24"/>
      <c r="P179" s="25" t="str">
        <f t="shared" si="2"/>
        <v/>
      </c>
    </row>
    <row r="180" spans="11:16" ht="15" customHeight="1" x14ac:dyDescent="0.2">
      <c r="K180" s="24"/>
      <c r="L180" s="24"/>
      <c r="M180" s="24"/>
      <c r="O180" s="24"/>
      <c r="P180" s="25" t="str">
        <f t="shared" si="2"/>
        <v/>
      </c>
    </row>
    <row r="181" spans="11:16" ht="15" customHeight="1" x14ac:dyDescent="0.2">
      <c r="K181" s="24"/>
      <c r="L181" s="24"/>
      <c r="M181" s="24"/>
      <c r="O181" s="24"/>
      <c r="P181" s="25" t="str">
        <f t="shared" si="2"/>
        <v/>
      </c>
    </row>
    <row r="182" spans="11:16" ht="15" customHeight="1" x14ac:dyDescent="0.2">
      <c r="K182" s="24"/>
      <c r="L182" s="24"/>
      <c r="M182" s="24"/>
      <c r="O182" s="24"/>
      <c r="P182" s="25" t="str">
        <f t="shared" si="2"/>
        <v/>
      </c>
    </row>
    <row r="183" spans="11:16" ht="15" customHeight="1" x14ac:dyDescent="0.2">
      <c r="K183" s="24"/>
      <c r="L183" s="24"/>
      <c r="M183" s="24"/>
      <c r="O183" s="24"/>
      <c r="P183" s="25" t="str">
        <f t="shared" si="2"/>
        <v/>
      </c>
    </row>
    <row r="184" spans="11:16" ht="15" customHeight="1" x14ac:dyDescent="0.2">
      <c r="K184" s="24"/>
      <c r="L184" s="24"/>
      <c r="M184" s="24"/>
      <c r="O184" s="24"/>
      <c r="P184" s="25" t="str">
        <f t="shared" si="2"/>
        <v/>
      </c>
    </row>
    <row r="185" spans="11:16" ht="15" customHeight="1" x14ac:dyDescent="0.2">
      <c r="K185" s="24"/>
      <c r="L185" s="24"/>
      <c r="M185" s="24"/>
      <c r="O185" s="24"/>
      <c r="P185" s="25" t="str">
        <f t="shared" si="2"/>
        <v/>
      </c>
    </row>
    <row r="186" spans="11:16" ht="15" customHeight="1" x14ac:dyDescent="0.2">
      <c r="K186" s="24"/>
      <c r="L186" s="24"/>
      <c r="M186" s="24"/>
      <c r="O186" s="24"/>
      <c r="P186" s="25" t="str">
        <f t="shared" si="2"/>
        <v/>
      </c>
    </row>
    <row r="187" spans="11:16" ht="15" customHeight="1" x14ac:dyDescent="0.2">
      <c r="K187" s="24"/>
      <c r="L187" s="24"/>
      <c r="M187" s="24"/>
      <c r="O187" s="24"/>
      <c r="P187" s="25" t="str">
        <f t="shared" si="2"/>
        <v/>
      </c>
    </row>
    <row r="188" spans="11:16" ht="15" customHeight="1" x14ac:dyDescent="0.2">
      <c r="K188" s="24"/>
      <c r="L188" s="24"/>
      <c r="M188" s="24"/>
      <c r="O188" s="24"/>
      <c r="P188" s="25" t="str">
        <f t="shared" si="2"/>
        <v/>
      </c>
    </row>
    <row r="189" spans="11:16" ht="15" customHeight="1" x14ac:dyDescent="0.2">
      <c r="K189" s="24"/>
      <c r="L189" s="24"/>
      <c r="M189" s="24"/>
      <c r="O189" s="24"/>
      <c r="P189" s="25" t="str">
        <f t="shared" si="2"/>
        <v/>
      </c>
    </row>
    <row r="190" spans="11:16" ht="15" customHeight="1" x14ac:dyDescent="0.2">
      <c r="K190" s="24"/>
      <c r="L190" s="24"/>
      <c r="M190" s="24"/>
      <c r="O190" s="24"/>
      <c r="P190" s="25" t="str">
        <f t="shared" si="2"/>
        <v/>
      </c>
    </row>
    <row r="191" spans="11:16" ht="15" customHeight="1" x14ac:dyDescent="0.2">
      <c r="K191" s="24"/>
      <c r="L191" s="24"/>
      <c r="M191" s="24"/>
      <c r="O191" s="24"/>
      <c r="P191" s="25" t="str">
        <f t="shared" si="2"/>
        <v/>
      </c>
    </row>
    <row r="192" spans="11:16" ht="15" customHeight="1" x14ac:dyDescent="0.2">
      <c r="K192" s="24"/>
      <c r="L192" s="24"/>
      <c r="M192" s="24"/>
      <c r="O192" s="24"/>
      <c r="P192" s="25" t="str">
        <f t="shared" si="2"/>
        <v/>
      </c>
    </row>
    <row r="193" spans="11:16" ht="15" customHeight="1" x14ac:dyDescent="0.2">
      <c r="K193" s="24"/>
      <c r="L193" s="24"/>
      <c r="M193" s="24"/>
      <c r="O193" s="24"/>
      <c r="P193" s="25" t="str">
        <f t="shared" si="2"/>
        <v/>
      </c>
    </row>
    <row r="194" spans="11:16" ht="15" customHeight="1" x14ac:dyDescent="0.2">
      <c r="K194" s="24"/>
      <c r="L194" s="24"/>
      <c r="M194" s="24"/>
      <c r="O194" s="24"/>
      <c r="P194" s="25" t="str">
        <f t="shared" si="2"/>
        <v/>
      </c>
    </row>
    <row r="195" spans="11:16" ht="15" customHeight="1" x14ac:dyDescent="0.2">
      <c r="K195" s="24"/>
      <c r="L195" s="24"/>
      <c r="M195" s="24"/>
      <c r="O195" s="24"/>
      <c r="P195" s="25" t="str">
        <f t="shared" si="2"/>
        <v/>
      </c>
    </row>
    <row r="196" spans="11:16" ht="15" customHeight="1" x14ac:dyDescent="0.2">
      <c r="K196" s="24"/>
      <c r="L196" s="24"/>
      <c r="M196" s="24"/>
      <c r="O196" s="24"/>
      <c r="P196" s="25" t="str">
        <f t="shared" si="2"/>
        <v/>
      </c>
    </row>
    <row r="197" spans="11:16" ht="15" customHeight="1" x14ac:dyDescent="0.2">
      <c r="K197" s="24"/>
      <c r="L197" s="24"/>
      <c r="M197" s="24"/>
      <c r="O197" s="24"/>
      <c r="P197" s="25" t="str">
        <f t="shared" ref="P197:P260" si="3">IF(A197="","",COUNTIF(E197:I197,"Yes"))</f>
        <v/>
      </c>
    </row>
    <row r="198" spans="11:16" ht="15" customHeight="1" x14ac:dyDescent="0.2">
      <c r="K198" s="24"/>
      <c r="L198" s="24"/>
      <c r="M198" s="24"/>
      <c r="O198" s="24"/>
      <c r="P198" s="25" t="str">
        <f t="shared" si="3"/>
        <v/>
      </c>
    </row>
    <row r="199" spans="11:16" ht="15" customHeight="1" x14ac:dyDescent="0.2">
      <c r="K199" s="24"/>
      <c r="L199" s="24"/>
      <c r="M199" s="24"/>
      <c r="O199" s="24"/>
      <c r="P199" s="25" t="str">
        <f t="shared" si="3"/>
        <v/>
      </c>
    </row>
    <row r="200" spans="11:16" ht="15" customHeight="1" x14ac:dyDescent="0.2">
      <c r="K200" s="24"/>
      <c r="L200" s="24"/>
      <c r="M200" s="24"/>
      <c r="O200" s="24"/>
      <c r="P200" s="25" t="str">
        <f t="shared" si="3"/>
        <v/>
      </c>
    </row>
    <row r="201" spans="11:16" ht="15" customHeight="1" x14ac:dyDescent="0.2">
      <c r="K201" s="24"/>
      <c r="L201" s="24"/>
      <c r="M201" s="24"/>
      <c r="O201" s="24"/>
      <c r="P201" s="25" t="str">
        <f t="shared" si="3"/>
        <v/>
      </c>
    </row>
    <row r="202" spans="11:16" ht="15" customHeight="1" x14ac:dyDescent="0.2">
      <c r="K202" s="24"/>
      <c r="L202" s="24"/>
      <c r="M202" s="24"/>
      <c r="O202" s="24"/>
      <c r="P202" s="25" t="str">
        <f t="shared" si="3"/>
        <v/>
      </c>
    </row>
    <row r="203" spans="11:16" ht="15" customHeight="1" x14ac:dyDescent="0.2">
      <c r="K203" s="24"/>
      <c r="L203" s="24"/>
      <c r="M203" s="24"/>
      <c r="O203" s="24"/>
      <c r="P203" s="25" t="str">
        <f t="shared" si="3"/>
        <v/>
      </c>
    </row>
    <row r="204" spans="11:16" ht="15" customHeight="1" x14ac:dyDescent="0.2">
      <c r="K204" s="24"/>
      <c r="L204" s="24"/>
      <c r="M204" s="24"/>
      <c r="O204" s="24"/>
      <c r="P204" s="25" t="str">
        <f t="shared" si="3"/>
        <v/>
      </c>
    </row>
    <row r="205" spans="11:16" ht="15" customHeight="1" x14ac:dyDescent="0.2">
      <c r="K205" s="24"/>
      <c r="L205" s="24"/>
      <c r="M205" s="24"/>
      <c r="O205" s="24"/>
      <c r="P205" s="25" t="str">
        <f t="shared" si="3"/>
        <v/>
      </c>
    </row>
    <row r="206" spans="11:16" ht="15" customHeight="1" x14ac:dyDescent="0.2">
      <c r="K206" s="24"/>
      <c r="L206" s="24"/>
      <c r="M206" s="24"/>
      <c r="O206" s="24"/>
      <c r="P206" s="25" t="str">
        <f t="shared" si="3"/>
        <v/>
      </c>
    </row>
    <row r="207" spans="11:16" ht="15" customHeight="1" x14ac:dyDescent="0.2">
      <c r="K207" s="24"/>
      <c r="L207" s="24"/>
      <c r="M207" s="24"/>
      <c r="O207" s="24"/>
      <c r="P207" s="25" t="str">
        <f t="shared" si="3"/>
        <v/>
      </c>
    </row>
    <row r="208" spans="11:16" ht="15" customHeight="1" x14ac:dyDescent="0.2">
      <c r="K208" s="24"/>
      <c r="L208" s="24"/>
      <c r="M208" s="24"/>
      <c r="O208" s="24"/>
      <c r="P208" s="25" t="str">
        <f t="shared" si="3"/>
        <v/>
      </c>
    </row>
    <row r="209" spans="11:16" ht="15" customHeight="1" x14ac:dyDescent="0.2">
      <c r="K209" s="24"/>
      <c r="L209" s="24"/>
      <c r="M209" s="24"/>
      <c r="O209" s="24"/>
      <c r="P209" s="25" t="str">
        <f t="shared" si="3"/>
        <v/>
      </c>
    </row>
    <row r="210" spans="11:16" ht="15" customHeight="1" x14ac:dyDescent="0.2">
      <c r="K210" s="24"/>
      <c r="L210" s="24"/>
      <c r="M210" s="24"/>
      <c r="O210" s="24"/>
      <c r="P210" s="25" t="str">
        <f t="shared" si="3"/>
        <v/>
      </c>
    </row>
    <row r="211" spans="11:16" ht="15" customHeight="1" x14ac:dyDescent="0.2">
      <c r="K211" s="24"/>
      <c r="L211" s="24"/>
      <c r="M211" s="24"/>
      <c r="O211" s="24"/>
      <c r="P211" s="25" t="str">
        <f t="shared" si="3"/>
        <v/>
      </c>
    </row>
    <row r="212" spans="11:16" ht="15" customHeight="1" x14ac:dyDescent="0.2">
      <c r="K212" s="24"/>
      <c r="L212" s="24"/>
      <c r="M212" s="24"/>
      <c r="O212" s="24"/>
      <c r="P212" s="25" t="str">
        <f t="shared" si="3"/>
        <v/>
      </c>
    </row>
    <row r="213" spans="11:16" ht="15" customHeight="1" x14ac:dyDescent="0.2">
      <c r="K213" s="24"/>
      <c r="L213" s="24"/>
      <c r="M213" s="24"/>
      <c r="O213" s="24"/>
      <c r="P213" s="25" t="str">
        <f t="shared" si="3"/>
        <v/>
      </c>
    </row>
    <row r="214" spans="11:16" ht="15" customHeight="1" x14ac:dyDescent="0.2">
      <c r="K214" s="24"/>
      <c r="L214" s="24"/>
      <c r="M214" s="24"/>
      <c r="O214" s="24"/>
      <c r="P214" s="25" t="str">
        <f t="shared" si="3"/>
        <v/>
      </c>
    </row>
    <row r="215" spans="11:16" ht="15" customHeight="1" x14ac:dyDescent="0.2">
      <c r="K215" s="24"/>
      <c r="L215" s="24"/>
      <c r="M215" s="24"/>
      <c r="O215" s="24"/>
      <c r="P215" s="25" t="str">
        <f t="shared" si="3"/>
        <v/>
      </c>
    </row>
    <row r="216" spans="11:16" ht="15" customHeight="1" x14ac:dyDescent="0.2">
      <c r="K216" s="24"/>
      <c r="L216" s="24"/>
      <c r="M216" s="24"/>
      <c r="O216" s="24"/>
      <c r="P216" s="25" t="str">
        <f t="shared" si="3"/>
        <v/>
      </c>
    </row>
    <row r="217" spans="11:16" ht="15" customHeight="1" x14ac:dyDescent="0.2">
      <c r="K217" s="24"/>
      <c r="L217" s="24"/>
      <c r="M217" s="24"/>
      <c r="O217" s="24"/>
      <c r="P217" s="25" t="str">
        <f t="shared" si="3"/>
        <v/>
      </c>
    </row>
    <row r="218" spans="11:16" ht="15" customHeight="1" x14ac:dyDescent="0.2">
      <c r="K218" s="24"/>
      <c r="L218" s="24"/>
      <c r="M218" s="24"/>
      <c r="O218" s="24"/>
      <c r="P218" s="25" t="str">
        <f t="shared" si="3"/>
        <v/>
      </c>
    </row>
    <row r="219" spans="11:16" ht="15" customHeight="1" x14ac:dyDescent="0.2">
      <c r="K219" s="24"/>
      <c r="L219" s="24"/>
      <c r="M219" s="24"/>
      <c r="O219" s="24"/>
      <c r="P219" s="25" t="str">
        <f t="shared" si="3"/>
        <v/>
      </c>
    </row>
    <row r="220" spans="11:16" ht="15" customHeight="1" x14ac:dyDescent="0.2">
      <c r="K220" s="24"/>
      <c r="L220" s="24"/>
      <c r="M220" s="24"/>
      <c r="O220" s="24"/>
      <c r="P220" s="25" t="str">
        <f t="shared" si="3"/>
        <v/>
      </c>
    </row>
    <row r="221" spans="11:16" ht="15" customHeight="1" x14ac:dyDescent="0.2">
      <c r="K221" s="24"/>
      <c r="L221" s="24"/>
      <c r="M221" s="24"/>
      <c r="O221" s="24"/>
      <c r="P221" s="25" t="str">
        <f t="shared" si="3"/>
        <v/>
      </c>
    </row>
    <row r="222" spans="11:16" ht="15" customHeight="1" x14ac:dyDescent="0.2">
      <c r="K222" s="24"/>
      <c r="L222" s="24"/>
      <c r="M222" s="24"/>
      <c r="O222" s="24"/>
      <c r="P222" s="25" t="str">
        <f t="shared" si="3"/>
        <v/>
      </c>
    </row>
    <row r="223" spans="11:16" ht="15" customHeight="1" x14ac:dyDescent="0.2">
      <c r="K223" s="24"/>
      <c r="L223" s="24"/>
      <c r="M223" s="24"/>
      <c r="O223" s="24"/>
      <c r="P223" s="25" t="str">
        <f t="shared" si="3"/>
        <v/>
      </c>
    </row>
    <row r="224" spans="11:16" ht="15" customHeight="1" x14ac:dyDescent="0.2">
      <c r="K224" s="24"/>
      <c r="L224" s="24"/>
      <c r="M224" s="24"/>
      <c r="O224" s="24"/>
      <c r="P224" s="25" t="str">
        <f t="shared" si="3"/>
        <v/>
      </c>
    </row>
    <row r="225" spans="11:16" ht="15" customHeight="1" x14ac:dyDescent="0.2">
      <c r="K225" s="24"/>
      <c r="L225" s="24"/>
      <c r="M225" s="24"/>
      <c r="O225" s="24"/>
      <c r="P225" s="25" t="str">
        <f t="shared" si="3"/>
        <v/>
      </c>
    </row>
    <row r="226" spans="11:16" ht="15" customHeight="1" x14ac:dyDescent="0.2">
      <c r="K226" s="24"/>
      <c r="L226" s="24"/>
      <c r="M226" s="24"/>
      <c r="O226" s="24"/>
      <c r="P226" s="25" t="str">
        <f t="shared" si="3"/>
        <v/>
      </c>
    </row>
    <row r="227" spans="11:16" ht="15" customHeight="1" x14ac:dyDescent="0.2">
      <c r="K227" s="24"/>
      <c r="L227" s="24"/>
      <c r="M227" s="24"/>
      <c r="O227" s="24"/>
      <c r="P227" s="25" t="str">
        <f t="shared" si="3"/>
        <v/>
      </c>
    </row>
    <row r="228" spans="11:16" ht="15" customHeight="1" x14ac:dyDescent="0.2">
      <c r="K228" s="24"/>
      <c r="L228" s="24"/>
      <c r="M228" s="24"/>
      <c r="O228" s="24"/>
      <c r="P228" s="25" t="str">
        <f t="shared" si="3"/>
        <v/>
      </c>
    </row>
    <row r="229" spans="11:16" ht="15" customHeight="1" x14ac:dyDescent="0.2">
      <c r="K229" s="24"/>
      <c r="L229" s="24"/>
      <c r="M229" s="24"/>
      <c r="O229" s="24"/>
      <c r="P229" s="25" t="str">
        <f t="shared" si="3"/>
        <v/>
      </c>
    </row>
    <row r="230" spans="11:16" ht="15" customHeight="1" x14ac:dyDescent="0.2">
      <c r="K230" s="24"/>
      <c r="L230" s="24"/>
      <c r="M230" s="24"/>
      <c r="O230" s="24"/>
      <c r="P230" s="25" t="str">
        <f t="shared" si="3"/>
        <v/>
      </c>
    </row>
    <row r="231" spans="11:16" ht="15" customHeight="1" x14ac:dyDescent="0.2">
      <c r="K231" s="24"/>
      <c r="L231" s="24"/>
      <c r="M231" s="24"/>
      <c r="O231" s="24"/>
      <c r="P231" s="25" t="str">
        <f t="shared" si="3"/>
        <v/>
      </c>
    </row>
    <row r="232" spans="11:16" ht="15" customHeight="1" x14ac:dyDescent="0.2">
      <c r="K232" s="24"/>
      <c r="L232" s="24"/>
      <c r="M232" s="24"/>
      <c r="O232" s="24"/>
      <c r="P232" s="25" t="str">
        <f t="shared" si="3"/>
        <v/>
      </c>
    </row>
    <row r="233" spans="11:16" ht="15" customHeight="1" x14ac:dyDescent="0.2">
      <c r="K233" s="24"/>
      <c r="L233" s="24"/>
      <c r="M233" s="24"/>
      <c r="O233" s="24"/>
      <c r="P233" s="25" t="str">
        <f t="shared" si="3"/>
        <v/>
      </c>
    </row>
    <row r="234" spans="11:16" ht="15" customHeight="1" x14ac:dyDescent="0.2">
      <c r="K234" s="24"/>
      <c r="L234" s="24"/>
      <c r="M234" s="24"/>
      <c r="O234" s="24"/>
      <c r="P234" s="25" t="str">
        <f t="shared" si="3"/>
        <v/>
      </c>
    </row>
    <row r="235" spans="11:16" ht="15" customHeight="1" x14ac:dyDescent="0.2">
      <c r="K235" s="24"/>
      <c r="L235" s="24"/>
      <c r="M235" s="24"/>
      <c r="O235" s="24"/>
      <c r="P235" s="25" t="str">
        <f t="shared" si="3"/>
        <v/>
      </c>
    </row>
    <row r="236" spans="11:16" ht="15" customHeight="1" x14ac:dyDescent="0.2">
      <c r="K236" s="24"/>
      <c r="L236" s="24"/>
      <c r="M236" s="24"/>
      <c r="O236" s="24"/>
      <c r="P236" s="25" t="str">
        <f t="shared" si="3"/>
        <v/>
      </c>
    </row>
    <row r="237" spans="11:16" ht="15" customHeight="1" x14ac:dyDescent="0.2">
      <c r="K237" s="24"/>
      <c r="L237" s="24"/>
      <c r="M237" s="24"/>
      <c r="O237" s="24"/>
      <c r="P237" s="25" t="str">
        <f t="shared" si="3"/>
        <v/>
      </c>
    </row>
    <row r="238" spans="11:16" ht="15" customHeight="1" x14ac:dyDescent="0.2">
      <c r="K238" s="24"/>
      <c r="L238" s="24"/>
      <c r="M238" s="24"/>
      <c r="O238" s="24"/>
      <c r="P238" s="25" t="str">
        <f t="shared" si="3"/>
        <v/>
      </c>
    </row>
    <row r="239" spans="11:16" ht="15" customHeight="1" x14ac:dyDescent="0.2">
      <c r="K239" s="24"/>
      <c r="L239" s="24"/>
      <c r="M239" s="24"/>
      <c r="O239" s="24"/>
      <c r="P239" s="25" t="str">
        <f t="shared" si="3"/>
        <v/>
      </c>
    </row>
    <row r="240" spans="11:16" ht="15" customHeight="1" x14ac:dyDescent="0.2">
      <c r="K240" s="24"/>
      <c r="L240" s="24"/>
      <c r="M240" s="24"/>
      <c r="O240" s="24"/>
      <c r="P240" s="25" t="str">
        <f t="shared" si="3"/>
        <v/>
      </c>
    </row>
    <row r="241" spans="11:16" ht="15" customHeight="1" x14ac:dyDescent="0.2">
      <c r="K241" s="24"/>
      <c r="L241" s="24"/>
      <c r="M241" s="24"/>
      <c r="O241" s="24"/>
      <c r="P241" s="25" t="str">
        <f t="shared" si="3"/>
        <v/>
      </c>
    </row>
    <row r="242" spans="11:16" ht="15" customHeight="1" x14ac:dyDescent="0.2">
      <c r="K242" s="24"/>
      <c r="L242" s="24"/>
      <c r="M242" s="24"/>
      <c r="O242" s="24"/>
      <c r="P242" s="25" t="str">
        <f t="shared" si="3"/>
        <v/>
      </c>
    </row>
    <row r="243" spans="11:16" ht="15" customHeight="1" x14ac:dyDescent="0.2">
      <c r="K243" s="24"/>
      <c r="L243" s="24"/>
      <c r="M243" s="24"/>
      <c r="O243" s="24"/>
      <c r="P243" s="25" t="str">
        <f t="shared" si="3"/>
        <v/>
      </c>
    </row>
    <row r="244" spans="11:16" ht="15" customHeight="1" x14ac:dyDescent="0.2">
      <c r="K244" s="24"/>
      <c r="L244" s="24"/>
      <c r="M244" s="24"/>
      <c r="O244" s="24"/>
      <c r="P244" s="25" t="str">
        <f t="shared" si="3"/>
        <v/>
      </c>
    </row>
    <row r="245" spans="11:16" ht="15" customHeight="1" x14ac:dyDescent="0.2">
      <c r="K245" s="24"/>
      <c r="L245" s="24"/>
      <c r="M245" s="24"/>
      <c r="O245" s="24"/>
      <c r="P245" s="25" t="str">
        <f t="shared" si="3"/>
        <v/>
      </c>
    </row>
    <row r="246" spans="11:16" ht="15" customHeight="1" x14ac:dyDescent="0.2">
      <c r="K246" s="24"/>
      <c r="L246" s="24"/>
      <c r="M246" s="24"/>
      <c r="O246" s="24"/>
      <c r="P246" s="25" t="str">
        <f t="shared" si="3"/>
        <v/>
      </c>
    </row>
    <row r="247" spans="11:16" ht="15" customHeight="1" x14ac:dyDescent="0.2">
      <c r="K247" s="24"/>
      <c r="L247" s="24"/>
      <c r="M247" s="24"/>
      <c r="O247" s="24"/>
      <c r="P247" s="25" t="str">
        <f t="shared" si="3"/>
        <v/>
      </c>
    </row>
    <row r="248" spans="11:16" ht="15" customHeight="1" x14ac:dyDescent="0.2">
      <c r="K248" s="24"/>
      <c r="L248" s="24"/>
      <c r="M248" s="24"/>
      <c r="O248" s="24"/>
      <c r="P248" s="25" t="str">
        <f t="shared" si="3"/>
        <v/>
      </c>
    </row>
    <row r="249" spans="11:16" ht="15" customHeight="1" x14ac:dyDescent="0.2">
      <c r="K249" s="24"/>
      <c r="L249" s="24"/>
      <c r="M249" s="24"/>
      <c r="O249" s="24"/>
      <c r="P249" s="25" t="str">
        <f t="shared" si="3"/>
        <v/>
      </c>
    </row>
    <row r="250" spans="11:16" ht="15" customHeight="1" x14ac:dyDescent="0.2">
      <c r="K250" s="24"/>
      <c r="L250" s="24"/>
      <c r="M250" s="24"/>
      <c r="O250" s="24"/>
      <c r="P250" s="25" t="str">
        <f t="shared" si="3"/>
        <v/>
      </c>
    </row>
    <row r="251" spans="11:16" ht="15" customHeight="1" x14ac:dyDescent="0.2">
      <c r="K251" s="24"/>
      <c r="L251" s="24"/>
      <c r="M251" s="24"/>
      <c r="O251" s="24"/>
      <c r="P251" s="25" t="str">
        <f t="shared" si="3"/>
        <v/>
      </c>
    </row>
    <row r="252" spans="11:16" ht="15" customHeight="1" x14ac:dyDescent="0.2">
      <c r="K252" s="24"/>
      <c r="L252" s="24"/>
      <c r="M252" s="24"/>
      <c r="O252" s="24"/>
      <c r="P252" s="25" t="str">
        <f t="shared" si="3"/>
        <v/>
      </c>
    </row>
    <row r="253" spans="11:16" ht="15" customHeight="1" x14ac:dyDescent="0.2">
      <c r="K253" s="24"/>
      <c r="L253" s="24"/>
      <c r="M253" s="24"/>
      <c r="O253" s="24"/>
      <c r="P253" s="25" t="str">
        <f t="shared" si="3"/>
        <v/>
      </c>
    </row>
    <row r="254" spans="11:16" ht="15" customHeight="1" x14ac:dyDescent="0.2">
      <c r="K254" s="24"/>
      <c r="L254" s="24"/>
      <c r="M254" s="24"/>
      <c r="O254" s="24"/>
      <c r="P254" s="25" t="str">
        <f t="shared" si="3"/>
        <v/>
      </c>
    </row>
    <row r="255" spans="11:16" ht="15" customHeight="1" x14ac:dyDescent="0.2">
      <c r="K255" s="24"/>
      <c r="L255" s="24"/>
      <c r="M255" s="24"/>
      <c r="O255" s="24"/>
      <c r="P255" s="25" t="str">
        <f t="shared" si="3"/>
        <v/>
      </c>
    </row>
    <row r="256" spans="11:16" ht="15" customHeight="1" x14ac:dyDescent="0.2">
      <c r="K256" s="24"/>
      <c r="L256" s="24"/>
      <c r="M256" s="24"/>
      <c r="O256" s="24"/>
      <c r="P256" s="25" t="str">
        <f t="shared" si="3"/>
        <v/>
      </c>
    </row>
    <row r="257" spans="11:16" ht="15" customHeight="1" x14ac:dyDescent="0.2">
      <c r="K257" s="24"/>
      <c r="L257" s="24"/>
      <c r="M257" s="24"/>
      <c r="O257" s="24"/>
      <c r="P257" s="25" t="str">
        <f t="shared" si="3"/>
        <v/>
      </c>
    </row>
    <row r="258" spans="11:16" ht="15" customHeight="1" x14ac:dyDescent="0.2">
      <c r="K258" s="24"/>
      <c r="L258" s="24"/>
      <c r="M258" s="24"/>
      <c r="O258" s="24"/>
      <c r="P258" s="25" t="str">
        <f t="shared" si="3"/>
        <v/>
      </c>
    </row>
    <row r="259" spans="11:16" ht="15" customHeight="1" x14ac:dyDescent="0.2">
      <c r="K259" s="24"/>
      <c r="L259" s="24"/>
      <c r="M259" s="24"/>
      <c r="O259" s="24"/>
      <c r="P259" s="25" t="str">
        <f t="shared" si="3"/>
        <v/>
      </c>
    </row>
    <row r="260" spans="11:16" ht="15" customHeight="1" x14ac:dyDescent="0.2">
      <c r="K260" s="24"/>
      <c r="L260" s="24"/>
      <c r="M260" s="24"/>
      <c r="O260" s="24"/>
      <c r="P260" s="25" t="str">
        <f t="shared" si="3"/>
        <v/>
      </c>
    </row>
    <row r="261" spans="11:16" ht="15" customHeight="1" x14ac:dyDescent="0.2">
      <c r="K261" s="24"/>
      <c r="L261" s="24"/>
      <c r="M261" s="24"/>
      <c r="O261" s="24"/>
      <c r="P261" s="25" t="str">
        <f t="shared" ref="P261:P324" si="4">IF(A261="","",COUNTIF(E261:I261,"Yes"))</f>
        <v/>
      </c>
    </row>
    <row r="262" spans="11:16" ht="15" customHeight="1" x14ac:dyDescent="0.2">
      <c r="K262" s="24"/>
      <c r="L262" s="24"/>
      <c r="M262" s="24"/>
      <c r="O262" s="24"/>
      <c r="P262" s="25" t="str">
        <f t="shared" si="4"/>
        <v/>
      </c>
    </row>
    <row r="263" spans="11:16" ht="15" customHeight="1" x14ac:dyDescent="0.2">
      <c r="K263" s="24"/>
      <c r="L263" s="24"/>
      <c r="M263" s="24"/>
      <c r="O263" s="24"/>
      <c r="P263" s="25" t="str">
        <f t="shared" si="4"/>
        <v/>
      </c>
    </row>
    <row r="264" spans="11:16" ht="15" customHeight="1" x14ac:dyDescent="0.2">
      <c r="K264" s="24"/>
      <c r="L264" s="24"/>
      <c r="M264" s="24"/>
      <c r="O264" s="24"/>
      <c r="P264" s="25" t="str">
        <f t="shared" si="4"/>
        <v/>
      </c>
    </row>
    <row r="265" spans="11:16" ht="15" customHeight="1" x14ac:dyDescent="0.2">
      <c r="K265" s="24"/>
      <c r="L265" s="24"/>
      <c r="M265" s="24"/>
      <c r="O265" s="24"/>
      <c r="P265" s="25" t="str">
        <f t="shared" si="4"/>
        <v/>
      </c>
    </row>
    <row r="266" spans="11:16" ht="15" customHeight="1" x14ac:dyDescent="0.2">
      <c r="K266" s="24"/>
      <c r="L266" s="24"/>
      <c r="M266" s="24"/>
      <c r="O266" s="24"/>
      <c r="P266" s="25" t="str">
        <f t="shared" si="4"/>
        <v/>
      </c>
    </row>
    <row r="267" spans="11:16" ht="15" customHeight="1" x14ac:dyDescent="0.2">
      <c r="K267" s="24"/>
      <c r="L267" s="24"/>
      <c r="M267" s="24"/>
      <c r="O267" s="24"/>
      <c r="P267" s="25" t="str">
        <f t="shared" si="4"/>
        <v/>
      </c>
    </row>
    <row r="268" spans="11:16" ht="15" customHeight="1" x14ac:dyDescent="0.2">
      <c r="K268" s="24"/>
      <c r="L268" s="24"/>
      <c r="M268" s="24"/>
      <c r="O268" s="24"/>
      <c r="P268" s="25" t="str">
        <f t="shared" si="4"/>
        <v/>
      </c>
    </row>
    <row r="269" spans="11:16" ht="15" customHeight="1" x14ac:dyDescent="0.2">
      <c r="K269" s="24"/>
      <c r="L269" s="24"/>
      <c r="M269" s="24"/>
      <c r="O269" s="24"/>
      <c r="P269" s="25" t="str">
        <f t="shared" si="4"/>
        <v/>
      </c>
    </row>
    <row r="270" spans="11:16" ht="15" customHeight="1" x14ac:dyDescent="0.2">
      <c r="K270" s="24"/>
      <c r="L270" s="24"/>
      <c r="M270" s="24"/>
      <c r="O270" s="24"/>
      <c r="P270" s="25" t="str">
        <f t="shared" si="4"/>
        <v/>
      </c>
    </row>
    <row r="271" spans="11:16" ht="15" customHeight="1" x14ac:dyDescent="0.2">
      <c r="K271" s="24"/>
      <c r="L271" s="24"/>
      <c r="M271" s="24"/>
      <c r="O271" s="24"/>
      <c r="P271" s="25" t="str">
        <f t="shared" si="4"/>
        <v/>
      </c>
    </row>
    <row r="272" spans="11:16" ht="15" customHeight="1" x14ac:dyDescent="0.2">
      <c r="K272" s="24"/>
      <c r="L272" s="24"/>
      <c r="M272" s="24"/>
      <c r="O272" s="24"/>
      <c r="P272" s="25" t="str">
        <f t="shared" si="4"/>
        <v/>
      </c>
    </row>
    <row r="273" spans="11:16" ht="15" customHeight="1" x14ac:dyDescent="0.2">
      <c r="K273" s="24"/>
      <c r="L273" s="24"/>
      <c r="M273" s="24"/>
      <c r="O273" s="24"/>
      <c r="P273" s="25" t="str">
        <f t="shared" si="4"/>
        <v/>
      </c>
    </row>
    <row r="274" spans="11:16" ht="15" customHeight="1" x14ac:dyDescent="0.2">
      <c r="K274" s="24"/>
      <c r="L274" s="24"/>
      <c r="M274" s="24"/>
      <c r="O274" s="24"/>
      <c r="P274" s="25" t="str">
        <f t="shared" si="4"/>
        <v/>
      </c>
    </row>
    <row r="275" spans="11:16" ht="15" customHeight="1" x14ac:dyDescent="0.2">
      <c r="K275" s="24"/>
      <c r="L275" s="24"/>
      <c r="M275" s="24"/>
      <c r="O275" s="24"/>
      <c r="P275" s="25" t="str">
        <f t="shared" si="4"/>
        <v/>
      </c>
    </row>
    <row r="276" spans="11:16" ht="15" customHeight="1" x14ac:dyDescent="0.2">
      <c r="K276" s="24"/>
      <c r="L276" s="24"/>
      <c r="M276" s="24"/>
      <c r="O276" s="24"/>
      <c r="P276" s="25" t="str">
        <f t="shared" si="4"/>
        <v/>
      </c>
    </row>
    <row r="277" spans="11:16" ht="15" customHeight="1" x14ac:dyDescent="0.2">
      <c r="K277" s="24"/>
      <c r="L277" s="24"/>
      <c r="M277" s="24"/>
      <c r="O277" s="24"/>
      <c r="P277" s="25" t="str">
        <f t="shared" si="4"/>
        <v/>
      </c>
    </row>
    <row r="278" spans="11:16" ht="15" customHeight="1" x14ac:dyDescent="0.2">
      <c r="K278" s="24"/>
      <c r="L278" s="24"/>
      <c r="M278" s="24"/>
      <c r="O278" s="24"/>
      <c r="P278" s="25" t="str">
        <f t="shared" si="4"/>
        <v/>
      </c>
    </row>
    <row r="279" spans="11:16" ht="15" customHeight="1" x14ac:dyDescent="0.2">
      <c r="K279" s="24"/>
      <c r="L279" s="24"/>
      <c r="M279" s="24"/>
      <c r="O279" s="24"/>
      <c r="P279" s="25" t="str">
        <f t="shared" si="4"/>
        <v/>
      </c>
    </row>
    <row r="280" spans="11:16" ht="15" customHeight="1" x14ac:dyDescent="0.2">
      <c r="K280" s="24"/>
      <c r="L280" s="24"/>
      <c r="M280" s="24"/>
      <c r="O280" s="24"/>
      <c r="P280" s="25" t="str">
        <f t="shared" si="4"/>
        <v/>
      </c>
    </row>
    <row r="281" spans="11:16" ht="15" customHeight="1" x14ac:dyDescent="0.2">
      <c r="K281" s="24"/>
      <c r="L281" s="24"/>
      <c r="M281" s="24"/>
      <c r="O281" s="24"/>
      <c r="P281" s="25" t="str">
        <f t="shared" si="4"/>
        <v/>
      </c>
    </row>
    <row r="282" spans="11:16" ht="15" customHeight="1" x14ac:dyDescent="0.2">
      <c r="K282" s="24"/>
      <c r="L282" s="24"/>
      <c r="M282" s="24"/>
      <c r="O282" s="24"/>
      <c r="P282" s="25" t="str">
        <f t="shared" si="4"/>
        <v/>
      </c>
    </row>
    <row r="283" spans="11:16" ht="15" customHeight="1" x14ac:dyDescent="0.2">
      <c r="K283" s="24"/>
      <c r="L283" s="24"/>
      <c r="M283" s="24"/>
      <c r="O283" s="24"/>
      <c r="P283" s="25" t="str">
        <f t="shared" si="4"/>
        <v/>
      </c>
    </row>
    <row r="284" spans="11:16" ht="15" customHeight="1" x14ac:dyDescent="0.2">
      <c r="K284" s="24"/>
      <c r="L284" s="24"/>
      <c r="M284" s="24"/>
      <c r="O284" s="24"/>
      <c r="P284" s="25" t="str">
        <f t="shared" si="4"/>
        <v/>
      </c>
    </row>
    <row r="285" spans="11:16" ht="15" customHeight="1" x14ac:dyDescent="0.2">
      <c r="K285" s="24"/>
      <c r="L285" s="24"/>
      <c r="M285" s="24"/>
      <c r="O285" s="24"/>
      <c r="P285" s="25" t="str">
        <f t="shared" si="4"/>
        <v/>
      </c>
    </row>
    <row r="286" spans="11:16" ht="15" customHeight="1" x14ac:dyDescent="0.2">
      <c r="K286" s="24"/>
      <c r="L286" s="24"/>
      <c r="M286" s="24"/>
      <c r="O286" s="24"/>
      <c r="P286" s="25" t="str">
        <f t="shared" si="4"/>
        <v/>
      </c>
    </row>
    <row r="287" spans="11:16" ht="15" customHeight="1" x14ac:dyDescent="0.2">
      <c r="K287" s="24"/>
      <c r="L287" s="24"/>
      <c r="M287" s="24"/>
      <c r="O287" s="24"/>
      <c r="P287" s="25" t="str">
        <f t="shared" si="4"/>
        <v/>
      </c>
    </row>
    <row r="288" spans="11:16" ht="15" customHeight="1" x14ac:dyDescent="0.2">
      <c r="K288" s="24"/>
      <c r="L288" s="24"/>
      <c r="M288" s="24"/>
      <c r="O288" s="24"/>
      <c r="P288" s="25" t="str">
        <f t="shared" si="4"/>
        <v/>
      </c>
    </row>
    <row r="289" spans="11:16" ht="15" customHeight="1" x14ac:dyDescent="0.2">
      <c r="K289" s="24"/>
      <c r="L289" s="24"/>
      <c r="M289" s="24"/>
      <c r="O289" s="24"/>
      <c r="P289" s="25" t="str">
        <f t="shared" si="4"/>
        <v/>
      </c>
    </row>
    <row r="290" spans="11:16" ht="15" customHeight="1" x14ac:dyDescent="0.2">
      <c r="K290" s="24"/>
      <c r="L290" s="24"/>
      <c r="M290" s="24"/>
      <c r="O290" s="24"/>
      <c r="P290" s="25" t="str">
        <f t="shared" si="4"/>
        <v/>
      </c>
    </row>
    <row r="291" spans="11:16" ht="15" customHeight="1" x14ac:dyDescent="0.2">
      <c r="K291" s="24"/>
      <c r="L291" s="24"/>
      <c r="M291" s="24"/>
      <c r="O291" s="24"/>
      <c r="P291" s="25" t="str">
        <f t="shared" si="4"/>
        <v/>
      </c>
    </row>
    <row r="292" spans="11:16" ht="15" customHeight="1" x14ac:dyDescent="0.2">
      <c r="K292" s="24"/>
      <c r="L292" s="24"/>
      <c r="M292" s="24"/>
      <c r="O292" s="24"/>
      <c r="P292" s="25" t="str">
        <f t="shared" si="4"/>
        <v/>
      </c>
    </row>
    <row r="293" spans="11:16" ht="15" customHeight="1" x14ac:dyDescent="0.2">
      <c r="K293" s="24"/>
      <c r="L293" s="24"/>
      <c r="M293" s="24"/>
      <c r="O293" s="24"/>
      <c r="P293" s="25" t="str">
        <f t="shared" si="4"/>
        <v/>
      </c>
    </row>
    <row r="294" spans="11:16" ht="15" customHeight="1" x14ac:dyDescent="0.2">
      <c r="K294" s="24"/>
      <c r="L294" s="24"/>
      <c r="M294" s="24"/>
      <c r="O294" s="24"/>
      <c r="P294" s="25" t="str">
        <f t="shared" si="4"/>
        <v/>
      </c>
    </row>
    <row r="295" spans="11:16" ht="15" customHeight="1" x14ac:dyDescent="0.2">
      <c r="K295" s="24"/>
      <c r="L295" s="24"/>
      <c r="M295" s="24"/>
      <c r="O295" s="24"/>
      <c r="P295" s="25" t="str">
        <f t="shared" si="4"/>
        <v/>
      </c>
    </row>
    <row r="296" spans="11:16" ht="15" customHeight="1" x14ac:dyDescent="0.2">
      <c r="K296" s="24"/>
      <c r="L296" s="24"/>
      <c r="M296" s="24"/>
      <c r="O296" s="24"/>
      <c r="P296" s="25" t="str">
        <f t="shared" si="4"/>
        <v/>
      </c>
    </row>
    <row r="297" spans="11:16" ht="15" customHeight="1" x14ac:dyDescent="0.2">
      <c r="K297" s="24"/>
      <c r="L297" s="24"/>
      <c r="M297" s="24"/>
      <c r="O297" s="24"/>
      <c r="P297" s="25" t="str">
        <f t="shared" si="4"/>
        <v/>
      </c>
    </row>
    <row r="298" spans="11:16" ht="15" customHeight="1" x14ac:dyDescent="0.2">
      <c r="K298" s="24"/>
      <c r="L298" s="24"/>
      <c r="M298" s="24"/>
      <c r="O298" s="24"/>
      <c r="P298" s="25" t="str">
        <f t="shared" si="4"/>
        <v/>
      </c>
    </row>
    <row r="299" spans="11:16" ht="15" customHeight="1" x14ac:dyDescent="0.2">
      <c r="K299" s="24"/>
      <c r="L299" s="24"/>
      <c r="M299" s="24"/>
      <c r="O299" s="24"/>
      <c r="P299" s="25" t="str">
        <f t="shared" si="4"/>
        <v/>
      </c>
    </row>
    <row r="300" spans="11:16" ht="15" customHeight="1" x14ac:dyDescent="0.2">
      <c r="K300" s="24"/>
      <c r="L300" s="24"/>
      <c r="M300" s="24"/>
      <c r="O300" s="24"/>
      <c r="P300" s="25" t="str">
        <f t="shared" si="4"/>
        <v/>
      </c>
    </row>
    <row r="301" spans="11:16" ht="15" customHeight="1" x14ac:dyDescent="0.2">
      <c r="K301" s="24"/>
      <c r="L301" s="24"/>
      <c r="M301" s="24"/>
      <c r="O301" s="24"/>
      <c r="P301" s="25" t="str">
        <f t="shared" si="4"/>
        <v/>
      </c>
    </row>
    <row r="302" spans="11:16" ht="15" customHeight="1" x14ac:dyDescent="0.2">
      <c r="K302" s="24"/>
      <c r="L302" s="24"/>
      <c r="M302" s="24"/>
      <c r="O302" s="24"/>
      <c r="P302" s="25" t="str">
        <f t="shared" si="4"/>
        <v/>
      </c>
    </row>
    <row r="303" spans="11:16" ht="15" customHeight="1" x14ac:dyDescent="0.2">
      <c r="K303" s="24"/>
      <c r="L303" s="24"/>
      <c r="M303" s="24"/>
      <c r="O303" s="24"/>
      <c r="P303" s="25" t="str">
        <f t="shared" si="4"/>
        <v/>
      </c>
    </row>
    <row r="304" spans="11:16" ht="15" customHeight="1" x14ac:dyDescent="0.2">
      <c r="K304" s="24"/>
      <c r="L304" s="24"/>
      <c r="M304" s="24"/>
      <c r="O304" s="24"/>
      <c r="P304" s="25" t="str">
        <f t="shared" si="4"/>
        <v/>
      </c>
    </row>
    <row r="305" spans="11:16" ht="15" customHeight="1" x14ac:dyDescent="0.2">
      <c r="K305" s="24"/>
      <c r="L305" s="24"/>
      <c r="M305" s="24"/>
      <c r="O305" s="24"/>
      <c r="P305" s="25" t="str">
        <f t="shared" si="4"/>
        <v/>
      </c>
    </row>
    <row r="306" spans="11:16" ht="15" customHeight="1" x14ac:dyDescent="0.2">
      <c r="K306" s="24"/>
      <c r="L306" s="24"/>
      <c r="M306" s="24"/>
      <c r="O306" s="24"/>
      <c r="P306" s="25" t="str">
        <f t="shared" si="4"/>
        <v/>
      </c>
    </row>
    <row r="307" spans="11:16" ht="15" customHeight="1" x14ac:dyDescent="0.2">
      <c r="K307" s="24"/>
      <c r="L307" s="24"/>
      <c r="M307" s="24"/>
      <c r="O307" s="24"/>
      <c r="P307" s="25" t="str">
        <f t="shared" si="4"/>
        <v/>
      </c>
    </row>
    <row r="308" spans="11:16" ht="15" customHeight="1" x14ac:dyDescent="0.2">
      <c r="K308" s="24"/>
      <c r="L308" s="24"/>
      <c r="M308" s="24"/>
      <c r="O308" s="24"/>
      <c r="P308" s="25" t="str">
        <f t="shared" si="4"/>
        <v/>
      </c>
    </row>
    <row r="309" spans="11:16" ht="15" customHeight="1" x14ac:dyDescent="0.2">
      <c r="K309" s="24"/>
      <c r="L309" s="24"/>
      <c r="M309" s="24"/>
      <c r="O309" s="24"/>
      <c r="P309" s="25" t="str">
        <f t="shared" si="4"/>
        <v/>
      </c>
    </row>
    <row r="310" spans="11:16" ht="15" customHeight="1" x14ac:dyDescent="0.2">
      <c r="K310" s="24"/>
      <c r="L310" s="24"/>
      <c r="M310" s="24"/>
      <c r="O310" s="24"/>
      <c r="P310" s="25" t="str">
        <f t="shared" si="4"/>
        <v/>
      </c>
    </row>
    <row r="311" spans="11:16" ht="15" customHeight="1" x14ac:dyDescent="0.2">
      <c r="K311" s="24"/>
      <c r="L311" s="24"/>
      <c r="M311" s="24"/>
      <c r="O311" s="24"/>
      <c r="P311" s="25" t="str">
        <f t="shared" si="4"/>
        <v/>
      </c>
    </row>
    <row r="312" spans="11:16" ht="15" customHeight="1" x14ac:dyDescent="0.2">
      <c r="K312" s="24"/>
      <c r="L312" s="24"/>
      <c r="M312" s="24"/>
      <c r="O312" s="24"/>
      <c r="P312" s="25" t="str">
        <f t="shared" si="4"/>
        <v/>
      </c>
    </row>
    <row r="313" spans="11:16" ht="15" customHeight="1" x14ac:dyDescent="0.2">
      <c r="K313" s="24"/>
      <c r="L313" s="24"/>
      <c r="M313" s="24"/>
      <c r="O313" s="24"/>
      <c r="P313" s="25" t="str">
        <f t="shared" si="4"/>
        <v/>
      </c>
    </row>
    <row r="314" spans="11:16" ht="15" customHeight="1" x14ac:dyDescent="0.2">
      <c r="K314" s="24"/>
      <c r="L314" s="24"/>
      <c r="M314" s="24"/>
      <c r="O314" s="24"/>
      <c r="P314" s="25" t="str">
        <f t="shared" si="4"/>
        <v/>
      </c>
    </row>
    <row r="315" spans="11:16" ht="15" customHeight="1" x14ac:dyDescent="0.2">
      <c r="K315" s="24"/>
      <c r="L315" s="24"/>
      <c r="M315" s="24"/>
      <c r="O315" s="24"/>
      <c r="P315" s="25" t="str">
        <f t="shared" si="4"/>
        <v/>
      </c>
    </row>
    <row r="316" spans="11:16" ht="15" customHeight="1" x14ac:dyDescent="0.2">
      <c r="K316" s="24"/>
      <c r="L316" s="24"/>
      <c r="M316" s="24"/>
      <c r="O316" s="24"/>
      <c r="P316" s="25" t="str">
        <f t="shared" si="4"/>
        <v/>
      </c>
    </row>
    <row r="317" spans="11:16" ht="15" customHeight="1" x14ac:dyDescent="0.2">
      <c r="K317" s="24"/>
      <c r="L317" s="24"/>
      <c r="M317" s="24"/>
      <c r="O317" s="24"/>
      <c r="P317" s="25" t="str">
        <f t="shared" si="4"/>
        <v/>
      </c>
    </row>
    <row r="318" spans="11:16" ht="15" customHeight="1" x14ac:dyDescent="0.2">
      <c r="K318" s="24"/>
      <c r="L318" s="24"/>
      <c r="M318" s="24"/>
      <c r="O318" s="24"/>
      <c r="P318" s="25" t="str">
        <f t="shared" si="4"/>
        <v/>
      </c>
    </row>
    <row r="319" spans="11:16" ht="15" customHeight="1" x14ac:dyDescent="0.2">
      <c r="K319" s="24"/>
      <c r="L319" s="24"/>
      <c r="M319" s="24"/>
      <c r="O319" s="24"/>
      <c r="P319" s="25" t="str">
        <f t="shared" si="4"/>
        <v/>
      </c>
    </row>
    <row r="320" spans="11:16" ht="15" customHeight="1" x14ac:dyDescent="0.2">
      <c r="K320" s="24"/>
      <c r="L320" s="24"/>
      <c r="M320" s="24"/>
      <c r="O320" s="24"/>
      <c r="P320" s="25" t="str">
        <f t="shared" si="4"/>
        <v/>
      </c>
    </row>
    <row r="321" spans="11:16" ht="15" customHeight="1" x14ac:dyDescent="0.2">
      <c r="K321" s="24"/>
      <c r="L321" s="24"/>
      <c r="M321" s="24"/>
      <c r="O321" s="24"/>
      <c r="P321" s="25" t="str">
        <f t="shared" si="4"/>
        <v/>
      </c>
    </row>
    <row r="322" spans="11:16" ht="15" customHeight="1" x14ac:dyDescent="0.2">
      <c r="K322" s="24"/>
      <c r="L322" s="24"/>
      <c r="M322" s="24"/>
      <c r="O322" s="24"/>
      <c r="P322" s="25" t="str">
        <f t="shared" si="4"/>
        <v/>
      </c>
    </row>
    <row r="323" spans="11:16" ht="15" customHeight="1" x14ac:dyDescent="0.2">
      <c r="K323" s="24"/>
      <c r="L323" s="24"/>
      <c r="M323" s="24"/>
      <c r="O323" s="24"/>
      <c r="P323" s="25" t="str">
        <f t="shared" si="4"/>
        <v/>
      </c>
    </row>
    <row r="324" spans="11:16" ht="15" customHeight="1" x14ac:dyDescent="0.2">
      <c r="K324" s="24"/>
      <c r="L324" s="24"/>
      <c r="M324" s="24"/>
      <c r="O324" s="24"/>
      <c r="P324" s="25" t="str">
        <f t="shared" si="4"/>
        <v/>
      </c>
    </row>
    <row r="325" spans="11:16" ht="15" customHeight="1" x14ac:dyDescent="0.2">
      <c r="K325" s="24"/>
      <c r="L325" s="24"/>
      <c r="M325" s="24"/>
      <c r="O325" s="24"/>
      <c r="P325" s="25" t="str">
        <f t="shared" ref="P325:P388" si="5">IF(A325="","",COUNTIF(E325:I325,"Yes"))</f>
        <v/>
      </c>
    </row>
    <row r="326" spans="11:16" ht="15" customHeight="1" x14ac:dyDescent="0.2">
      <c r="K326" s="24"/>
      <c r="L326" s="24"/>
      <c r="M326" s="24"/>
      <c r="O326" s="24"/>
      <c r="P326" s="25" t="str">
        <f t="shared" si="5"/>
        <v/>
      </c>
    </row>
    <row r="327" spans="11:16" ht="15" customHeight="1" x14ac:dyDescent="0.2">
      <c r="K327" s="24"/>
      <c r="L327" s="24"/>
      <c r="M327" s="24"/>
      <c r="O327" s="24"/>
      <c r="P327" s="25" t="str">
        <f t="shared" si="5"/>
        <v/>
      </c>
    </row>
    <row r="328" spans="11:16" ht="15" customHeight="1" x14ac:dyDescent="0.2">
      <c r="K328" s="24"/>
      <c r="L328" s="24"/>
      <c r="M328" s="24"/>
      <c r="O328" s="24"/>
      <c r="P328" s="25" t="str">
        <f t="shared" si="5"/>
        <v/>
      </c>
    </row>
    <row r="329" spans="11:16" ht="15" customHeight="1" x14ac:dyDescent="0.2">
      <c r="K329" s="24"/>
      <c r="L329" s="24"/>
      <c r="M329" s="24"/>
      <c r="O329" s="24"/>
      <c r="P329" s="25" t="str">
        <f t="shared" si="5"/>
        <v/>
      </c>
    </row>
    <row r="330" spans="11:16" ht="15" customHeight="1" x14ac:dyDescent="0.2">
      <c r="K330" s="24"/>
      <c r="L330" s="24"/>
      <c r="M330" s="24"/>
      <c r="O330" s="24"/>
      <c r="P330" s="25" t="str">
        <f t="shared" si="5"/>
        <v/>
      </c>
    </row>
    <row r="331" spans="11:16" ht="15" customHeight="1" x14ac:dyDescent="0.2">
      <c r="K331" s="24"/>
      <c r="L331" s="24"/>
      <c r="M331" s="24"/>
      <c r="O331" s="24"/>
      <c r="P331" s="25" t="str">
        <f t="shared" si="5"/>
        <v/>
      </c>
    </row>
    <row r="332" spans="11:16" ht="15" customHeight="1" x14ac:dyDescent="0.2">
      <c r="K332" s="24"/>
      <c r="L332" s="24"/>
      <c r="M332" s="24"/>
      <c r="O332" s="24"/>
      <c r="P332" s="25" t="str">
        <f t="shared" si="5"/>
        <v/>
      </c>
    </row>
    <row r="333" spans="11:16" ht="15" customHeight="1" x14ac:dyDescent="0.2">
      <c r="K333" s="24"/>
      <c r="L333" s="24"/>
      <c r="M333" s="24"/>
      <c r="O333" s="24"/>
      <c r="P333" s="25" t="str">
        <f t="shared" si="5"/>
        <v/>
      </c>
    </row>
    <row r="334" spans="11:16" ht="15" customHeight="1" x14ac:dyDescent="0.2">
      <c r="K334" s="24"/>
      <c r="L334" s="24"/>
      <c r="M334" s="24"/>
      <c r="O334" s="24"/>
      <c r="P334" s="25" t="str">
        <f t="shared" si="5"/>
        <v/>
      </c>
    </row>
    <row r="335" spans="11:16" ht="15" customHeight="1" x14ac:dyDescent="0.2">
      <c r="K335" s="24"/>
      <c r="L335" s="24"/>
      <c r="M335" s="24"/>
      <c r="O335" s="24"/>
      <c r="P335" s="25" t="str">
        <f t="shared" si="5"/>
        <v/>
      </c>
    </row>
    <row r="336" spans="11:16" ht="15" customHeight="1" x14ac:dyDescent="0.2">
      <c r="K336" s="24"/>
      <c r="L336" s="24"/>
      <c r="M336" s="24"/>
      <c r="O336" s="24"/>
      <c r="P336" s="25" t="str">
        <f t="shared" si="5"/>
        <v/>
      </c>
    </row>
    <row r="337" spans="11:16" ht="15" customHeight="1" x14ac:dyDescent="0.2">
      <c r="K337" s="24"/>
      <c r="L337" s="24"/>
      <c r="M337" s="24"/>
      <c r="O337" s="24"/>
      <c r="P337" s="25" t="str">
        <f t="shared" si="5"/>
        <v/>
      </c>
    </row>
    <row r="338" spans="11:16" ht="15" customHeight="1" x14ac:dyDescent="0.2">
      <c r="K338" s="24"/>
      <c r="L338" s="24"/>
      <c r="M338" s="24"/>
      <c r="O338" s="24"/>
      <c r="P338" s="25" t="str">
        <f t="shared" si="5"/>
        <v/>
      </c>
    </row>
    <row r="339" spans="11:16" ht="15" customHeight="1" x14ac:dyDescent="0.2">
      <c r="K339" s="24"/>
      <c r="L339" s="24"/>
      <c r="M339" s="24"/>
      <c r="O339" s="24"/>
      <c r="P339" s="25" t="str">
        <f t="shared" si="5"/>
        <v/>
      </c>
    </row>
    <row r="340" spans="11:16" ht="15" customHeight="1" x14ac:dyDescent="0.2">
      <c r="K340" s="24"/>
      <c r="L340" s="24"/>
      <c r="M340" s="24"/>
      <c r="O340" s="24"/>
      <c r="P340" s="25" t="str">
        <f t="shared" si="5"/>
        <v/>
      </c>
    </row>
    <row r="341" spans="11:16" ht="15" customHeight="1" x14ac:dyDescent="0.2">
      <c r="K341" s="24"/>
      <c r="L341" s="24"/>
      <c r="M341" s="24"/>
      <c r="O341" s="24"/>
      <c r="P341" s="25" t="str">
        <f t="shared" si="5"/>
        <v/>
      </c>
    </row>
    <row r="342" spans="11:16" ht="15" customHeight="1" x14ac:dyDescent="0.2">
      <c r="K342" s="24"/>
      <c r="L342" s="24"/>
      <c r="M342" s="24"/>
      <c r="O342" s="24"/>
      <c r="P342" s="25" t="str">
        <f t="shared" si="5"/>
        <v/>
      </c>
    </row>
    <row r="343" spans="11:16" ht="15" customHeight="1" x14ac:dyDescent="0.2">
      <c r="K343" s="24"/>
      <c r="L343" s="24"/>
      <c r="M343" s="24"/>
      <c r="O343" s="24"/>
      <c r="P343" s="25" t="str">
        <f t="shared" si="5"/>
        <v/>
      </c>
    </row>
    <row r="344" spans="11:16" ht="15" customHeight="1" x14ac:dyDescent="0.2">
      <c r="K344" s="24"/>
      <c r="L344" s="24"/>
      <c r="M344" s="24"/>
      <c r="O344" s="24"/>
      <c r="P344" s="25" t="str">
        <f t="shared" si="5"/>
        <v/>
      </c>
    </row>
    <row r="345" spans="11:16" ht="15" customHeight="1" x14ac:dyDescent="0.2">
      <c r="K345" s="24"/>
      <c r="L345" s="24"/>
      <c r="M345" s="24"/>
      <c r="O345" s="24"/>
      <c r="P345" s="25" t="str">
        <f t="shared" si="5"/>
        <v/>
      </c>
    </row>
    <row r="346" spans="11:16" ht="15" customHeight="1" x14ac:dyDescent="0.2">
      <c r="K346" s="24"/>
      <c r="L346" s="24"/>
      <c r="M346" s="24"/>
      <c r="O346" s="24"/>
      <c r="P346" s="25" t="str">
        <f t="shared" si="5"/>
        <v/>
      </c>
    </row>
    <row r="347" spans="11:16" ht="15" customHeight="1" x14ac:dyDescent="0.2">
      <c r="K347" s="24"/>
      <c r="L347" s="24"/>
      <c r="M347" s="24"/>
      <c r="O347" s="24"/>
      <c r="P347" s="25" t="str">
        <f t="shared" si="5"/>
        <v/>
      </c>
    </row>
    <row r="348" spans="11:16" ht="15" customHeight="1" x14ac:dyDescent="0.2">
      <c r="K348" s="24"/>
      <c r="L348" s="24"/>
      <c r="M348" s="24"/>
      <c r="O348" s="24"/>
      <c r="P348" s="25" t="str">
        <f t="shared" si="5"/>
        <v/>
      </c>
    </row>
    <row r="349" spans="11:16" ht="15" customHeight="1" x14ac:dyDescent="0.2">
      <c r="K349" s="24"/>
      <c r="L349" s="24"/>
      <c r="M349" s="24"/>
      <c r="O349" s="24"/>
      <c r="P349" s="25" t="str">
        <f t="shared" si="5"/>
        <v/>
      </c>
    </row>
    <row r="350" spans="11:16" ht="15" customHeight="1" x14ac:dyDescent="0.2">
      <c r="K350" s="24"/>
      <c r="L350" s="24"/>
      <c r="M350" s="24"/>
      <c r="O350" s="24"/>
      <c r="P350" s="25" t="str">
        <f t="shared" si="5"/>
        <v/>
      </c>
    </row>
    <row r="351" spans="11:16" ht="15" customHeight="1" x14ac:dyDescent="0.2">
      <c r="K351" s="24"/>
      <c r="L351" s="24"/>
      <c r="M351" s="24"/>
      <c r="O351" s="24"/>
      <c r="P351" s="25" t="str">
        <f t="shared" si="5"/>
        <v/>
      </c>
    </row>
    <row r="352" spans="11:16" ht="15" customHeight="1" x14ac:dyDescent="0.2">
      <c r="K352" s="24"/>
      <c r="L352" s="24"/>
      <c r="M352" s="24"/>
      <c r="O352" s="24"/>
      <c r="P352" s="25" t="str">
        <f t="shared" si="5"/>
        <v/>
      </c>
    </row>
    <row r="353" spans="11:16" ht="15" customHeight="1" x14ac:dyDescent="0.2">
      <c r="K353" s="24"/>
      <c r="L353" s="24"/>
      <c r="M353" s="24"/>
      <c r="O353" s="24"/>
      <c r="P353" s="25" t="str">
        <f t="shared" si="5"/>
        <v/>
      </c>
    </row>
    <row r="354" spans="11:16" ht="15" customHeight="1" x14ac:dyDescent="0.2">
      <c r="K354" s="24"/>
      <c r="L354" s="24"/>
      <c r="M354" s="24"/>
      <c r="O354" s="24"/>
      <c r="P354" s="25" t="str">
        <f t="shared" si="5"/>
        <v/>
      </c>
    </row>
    <row r="355" spans="11:16" ht="15" customHeight="1" x14ac:dyDescent="0.2">
      <c r="K355" s="24"/>
      <c r="L355" s="24"/>
      <c r="M355" s="24"/>
      <c r="O355" s="24"/>
      <c r="P355" s="25" t="str">
        <f t="shared" si="5"/>
        <v/>
      </c>
    </row>
    <row r="356" spans="11:16" ht="15" customHeight="1" x14ac:dyDescent="0.2">
      <c r="K356" s="24"/>
      <c r="L356" s="24"/>
      <c r="M356" s="24"/>
      <c r="O356" s="24"/>
      <c r="P356" s="25" t="str">
        <f t="shared" si="5"/>
        <v/>
      </c>
    </row>
    <row r="357" spans="11:16" ht="15" customHeight="1" x14ac:dyDescent="0.2">
      <c r="K357" s="24"/>
      <c r="L357" s="24"/>
      <c r="M357" s="24"/>
      <c r="O357" s="24"/>
      <c r="P357" s="25" t="str">
        <f t="shared" si="5"/>
        <v/>
      </c>
    </row>
    <row r="358" spans="11:16" ht="15" customHeight="1" x14ac:dyDescent="0.2">
      <c r="K358" s="24"/>
      <c r="L358" s="24"/>
      <c r="M358" s="24"/>
      <c r="O358" s="24"/>
      <c r="P358" s="25" t="str">
        <f t="shared" si="5"/>
        <v/>
      </c>
    </row>
    <row r="359" spans="11:16" ht="15" customHeight="1" x14ac:dyDescent="0.2">
      <c r="K359" s="24"/>
      <c r="L359" s="24"/>
      <c r="M359" s="24"/>
      <c r="O359" s="24"/>
      <c r="P359" s="25" t="str">
        <f t="shared" si="5"/>
        <v/>
      </c>
    </row>
    <row r="360" spans="11:16" ht="15" customHeight="1" x14ac:dyDescent="0.2">
      <c r="K360" s="24"/>
      <c r="L360" s="24"/>
      <c r="M360" s="24"/>
      <c r="O360" s="24"/>
      <c r="P360" s="25" t="str">
        <f t="shared" si="5"/>
        <v/>
      </c>
    </row>
    <row r="361" spans="11:16" ht="15" customHeight="1" x14ac:dyDescent="0.2">
      <c r="K361" s="24"/>
      <c r="L361" s="24"/>
      <c r="M361" s="24"/>
      <c r="O361" s="24"/>
      <c r="P361" s="25" t="str">
        <f t="shared" si="5"/>
        <v/>
      </c>
    </row>
    <row r="362" spans="11:16" ht="15" customHeight="1" x14ac:dyDescent="0.2">
      <c r="K362" s="24"/>
      <c r="L362" s="24"/>
      <c r="M362" s="24"/>
      <c r="O362" s="24"/>
      <c r="P362" s="25" t="str">
        <f t="shared" si="5"/>
        <v/>
      </c>
    </row>
    <row r="363" spans="11:16" ht="15" customHeight="1" x14ac:dyDescent="0.2">
      <c r="K363" s="24"/>
      <c r="L363" s="24"/>
      <c r="M363" s="24"/>
      <c r="O363" s="24"/>
      <c r="P363" s="25" t="str">
        <f t="shared" si="5"/>
        <v/>
      </c>
    </row>
    <row r="364" spans="11:16" ht="15" customHeight="1" x14ac:dyDescent="0.2">
      <c r="K364" s="24"/>
      <c r="L364" s="24"/>
      <c r="M364" s="24"/>
      <c r="O364" s="24"/>
      <c r="P364" s="25" t="str">
        <f t="shared" si="5"/>
        <v/>
      </c>
    </row>
    <row r="365" spans="11:16" ht="15" customHeight="1" x14ac:dyDescent="0.2">
      <c r="K365" s="24"/>
      <c r="L365" s="24"/>
      <c r="M365" s="24"/>
      <c r="O365" s="24"/>
      <c r="P365" s="25" t="str">
        <f t="shared" si="5"/>
        <v/>
      </c>
    </row>
    <row r="366" spans="11:16" ht="15" customHeight="1" x14ac:dyDescent="0.2">
      <c r="K366" s="24"/>
      <c r="L366" s="24"/>
      <c r="M366" s="24"/>
      <c r="O366" s="24"/>
      <c r="P366" s="25" t="str">
        <f t="shared" si="5"/>
        <v/>
      </c>
    </row>
    <row r="367" spans="11:16" ht="15" customHeight="1" x14ac:dyDescent="0.2">
      <c r="K367" s="24"/>
      <c r="L367" s="24"/>
      <c r="M367" s="24"/>
      <c r="O367" s="24"/>
      <c r="P367" s="25" t="str">
        <f t="shared" si="5"/>
        <v/>
      </c>
    </row>
    <row r="368" spans="11:16" ht="15" customHeight="1" x14ac:dyDescent="0.2">
      <c r="K368" s="24"/>
      <c r="L368" s="24"/>
      <c r="M368" s="24"/>
      <c r="O368" s="24"/>
      <c r="P368" s="25" t="str">
        <f t="shared" si="5"/>
        <v/>
      </c>
    </row>
    <row r="369" spans="11:16" ht="15" customHeight="1" x14ac:dyDescent="0.2">
      <c r="K369" s="24"/>
      <c r="L369" s="24"/>
      <c r="M369" s="24"/>
      <c r="O369" s="24"/>
      <c r="P369" s="25" t="str">
        <f t="shared" si="5"/>
        <v/>
      </c>
    </row>
    <row r="370" spans="11:16" ht="15" customHeight="1" x14ac:dyDescent="0.2">
      <c r="K370" s="24"/>
      <c r="L370" s="24"/>
      <c r="M370" s="24"/>
      <c r="O370" s="24"/>
      <c r="P370" s="25" t="str">
        <f t="shared" si="5"/>
        <v/>
      </c>
    </row>
    <row r="371" spans="11:16" ht="15" customHeight="1" x14ac:dyDescent="0.2">
      <c r="K371" s="24"/>
      <c r="L371" s="24"/>
      <c r="M371" s="24"/>
      <c r="O371" s="24"/>
      <c r="P371" s="25" t="str">
        <f t="shared" si="5"/>
        <v/>
      </c>
    </row>
    <row r="372" spans="11:16" ht="15" customHeight="1" x14ac:dyDescent="0.2">
      <c r="K372" s="24"/>
      <c r="L372" s="24"/>
      <c r="M372" s="24"/>
      <c r="O372" s="24"/>
      <c r="P372" s="25" t="str">
        <f t="shared" si="5"/>
        <v/>
      </c>
    </row>
    <row r="373" spans="11:16" ht="15" customHeight="1" x14ac:dyDescent="0.2">
      <c r="K373" s="24"/>
      <c r="L373" s="24"/>
      <c r="M373" s="24"/>
      <c r="O373" s="24"/>
      <c r="P373" s="25" t="str">
        <f t="shared" si="5"/>
        <v/>
      </c>
    </row>
    <row r="374" spans="11:16" ht="15" customHeight="1" x14ac:dyDescent="0.2">
      <c r="K374" s="24"/>
      <c r="L374" s="24"/>
      <c r="M374" s="24"/>
      <c r="O374" s="24"/>
      <c r="P374" s="25" t="str">
        <f t="shared" si="5"/>
        <v/>
      </c>
    </row>
    <row r="375" spans="11:16" ht="15" customHeight="1" x14ac:dyDescent="0.2">
      <c r="K375" s="24"/>
      <c r="L375" s="24"/>
      <c r="M375" s="24"/>
      <c r="O375" s="24"/>
      <c r="P375" s="25" t="str">
        <f t="shared" si="5"/>
        <v/>
      </c>
    </row>
    <row r="376" spans="11:16" ht="15" customHeight="1" x14ac:dyDescent="0.2">
      <c r="K376" s="24"/>
      <c r="L376" s="24"/>
      <c r="M376" s="24"/>
      <c r="O376" s="24"/>
      <c r="P376" s="25" t="str">
        <f t="shared" si="5"/>
        <v/>
      </c>
    </row>
    <row r="377" spans="11:16" ht="15" customHeight="1" x14ac:dyDescent="0.2">
      <c r="K377" s="24"/>
      <c r="L377" s="24"/>
      <c r="M377" s="24"/>
      <c r="O377" s="24"/>
      <c r="P377" s="25" t="str">
        <f t="shared" si="5"/>
        <v/>
      </c>
    </row>
    <row r="378" spans="11:16" ht="15" customHeight="1" x14ac:dyDescent="0.2">
      <c r="K378" s="24"/>
      <c r="L378" s="24"/>
      <c r="M378" s="24"/>
      <c r="O378" s="24"/>
      <c r="P378" s="25" t="str">
        <f t="shared" si="5"/>
        <v/>
      </c>
    </row>
    <row r="379" spans="11:16" ht="15" customHeight="1" x14ac:dyDescent="0.2">
      <c r="K379" s="24"/>
      <c r="L379" s="24"/>
      <c r="M379" s="24"/>
      <c r="O379" s="24"/>
      <c r="P379" s="25" t="str">
        <f t="shared" si="5"/>
        <v/>
      </c>
    </row>
    <row r="380" spans="11:16" ht="15" customHeight="1" x14ac:dyDescent="0.2">
      <c r="K380" s="24"/>
      <c r="L380" s="24"/>
      <c r="M380" s="24"/>
      <c r="O380" s="24"/>
      <c r="P380" s="25" t="str">
        <f t="shared" si="5"/>
        <v/>
      </c>
    </row>
    <row r="381" spans="11:16" ht="15" customHeight="1" x14ac:dyDescent="0.2">
      <c r="K381" s="24"/>
      <c r="L381" s="24"/>
      <c r="M381" s="24"/>
      <c r="O381" s="24"/>
      <c r="P381" s="25" t="str">
        <f t="shared" si="5"/>
        <v/>
      </c>
    </row>
    <row r="382" spans="11:16" ht="15" customHeight="1" x14ac:dyDescent="0.2">
      <c r="K382" s="24"/>
      <c r="L382" s="24"/>
      <c r="M382" s="24"/>
      <c r="O382" s="24"/>
      <c r="P382" s="25" t="str">
        <f t="shared" si="5"/>
        <v/>
      </c>
    </row>
    <row r="383" spans="11:16" ht="15" customHeight="1" x14ac:dyDescent="0.2">
      <c r="K383" s="24"/>
      <c r="L383" s="24"/>
      <c r="M383" s="24"/>
      <c r="O383" s="24"/>
      <c r="P383" s="25" t="str">
        <f t="shared" si="5"/>
        <v/>
      </c>
    </row>
    <row r="384" spans="11:16" ht="15" customHeight="1" x14ac:dyDescent="0.2">
      <c r="K384" s="24"/>
      <c r="L384" s="24"/>
      <c r="M384" s="24"/>
      <c r="O384" s="24"/>
      <c r="P384" s="25" t="str">
        <f t="shared" si="5"/>
        <v/>
      </c>
    </row>
    <row r="385" spans="11:16" ht="15" customHeight="1" x14ac:dyDescent="0.2">
      <c r="K385" s="24"/>
      <c r="L385" s="24"/>
      <c r="M385" s="24"/>
      <c r="O385" s="24"/>
      <c r="P385" s="25" t="str">
        <f t="shared" si="5"/>
        <v/>
      </c>
    </row>
    <row r="386" spans="11:16" ht="15" customHeight="1" x14ac:dyDescent="0.2">
      <c r="K386" s="24"/>
      <c r="L386" s="24"/>
      <c r="M386" s="24"/>
      <c r="O386" s="24"/>
      <c r="P386" s="25" t="str">
        <f t="shared" si="5"/>
        <v/>
      </c>
    </row>
    <row r="387" spans="11:16" ht="15" customHeight="1" x14ac:dyDescent="0.2">
      <c r="K387" s="24"/>
      <c r="L387" s="24"/>
      <c r="M387" s="24"/>
      <c r="O387" s="24"/>
      <c r="P387" s="25" t="str">
        <f t="shared" si="5"/>
        <v/>
      </c>
    </row>
    <row r="388" spans="11:16" ht="15" customHeight="1" x14ac:dyDescent="0.2">
      <c r="K388" s="24"/>
      <c r="L388" s="24"/>
      <c r="M388" s="24"/>
      <c r="O388" s="24"/>
      <c r="P388" s="25" t="str">
        <f t="shared" si="5"/>
        <v/>
      </c>
    </row>
    <row r="389" spans="11:16" ht="15" customHeight="1" x14ac:dyDescent="0.2">
      <c r="K389" s="24"/>
      <c r="L389" s="24"/>
      <c r="M389" s="24"/>
      <c r="O389" s="24"/>
      <c r="P389" s="25" t="str">
        <f t="shared" ref="P389:P452" si="6">IF(A389="","",COUNTIF(E389:I389,"Yes"))</f>
        <v/>
      </c>
    </row>
    <row r="390" spans="11:16" ht="15" customHeight="1" x14ac:dyDescent="0.2">
      <c r="K390" s="24"/>
      <c r="L390" s="24"/>
      <c r="M390" s="24"/>
      <c r="O390" s="24"/>
      <c r="P390" s="25" t="str">
        <f t="shared" si="6"/>
        <v/>
      </c>
    </row>
    <row r="391" spans="11:16" ht="15" customHeight="1" x14ac:dyDescent="0.2">
      <c r="K391" s="24"/>
      <c r="L391" s="24"/>
      <c r="M391" s="24"/>
      <c r="O391" s="24"/>
      <c r="P391" s="25" t="str">
        <f t="shared" si="6"/>
        <v/>
      </c>
    </row>
    <row r="392" spans="11:16" ht="15" customHeight="1" x14ac:dyDescent="0.2">
      <c r="K392" s="24"/>
      <c r="L392" s="24"/>
      <c r="M392" s="24"/>
      <c r="O392" s="24"/>
      <c r="P392" s="25" t="str">
        <f t="shared" si="6"/>
        <v/>
      </c>
    </row>
    <row r="393" spans="11:16" ht="15" customHeight="1" x14ac:dyDescent="0.2">
      <c r="K393" s="24"/>
      <c r="L393" s="24"/>
      <c r="M393" s="24"/>
      <c r="O393" s="24"/>
      <c r="P393" s="25" t="str">
        <f t="shared" si="6"/>
        <v/>
      </c>
    </row>
    <row r="394" spans="11:16" ht="15" customHeight="1" x14ac:dyDescent="0.2">
      <c r="K394" s="24"/>
      <c r="L394" s="24"/>
      <c r="M394" s="24"/>
      <c r="O394" s="24"/>
      <c r="P394" s="25" t="str">
        <f t="shared" si="6"/>
        <v/>
      </c>
    </row>
    <row r="395" spans="11:16" ht="15" customHeight="1" x14ac:dyDescent="0.2">
      <c r="K395" s="24"/>
      <c r="L395" s="24"/>
      <c r="M395" s="24"/>
      <c r="O395" s="24"/>
      <c r="P395" s="25" t="str">
        <f t="shared" si="6"/>
        <v/>
      </c>
    </row>
    <row r="396" spans="11:16" ht="15" customHeight="1" x14ac:dyDescent="0.2">
      <c r="K396" s="24"/>
      <c r="L396" s="24"/>
      <c r="M396" s="24"/>
      <c r="O396" s="24"/>
      <c r="P396" s="25" t="str">
        <f t="shared" si="6"/>
        <v/>
      </c>
    </row>
    <row r="397" spans="11:16" ht="15" customHeight="1" x14ac:dyDescent="0.2">
      <c r="K397" s="24"/>
      <c r="L397" s="24"/>
      <c r="M397" s="24"/>
      <c r="O397" s="24"/>
      <c r="P397" s="25" t="str">
        <f t="shared" si="6"/>
        <v/>
      </c>
    </row>
    <row r="398" spans="11:16" ht="15" customHeight="1" x14ac:dyDescent="0.2">
      <c r="K398" s="24"/>
      <c r="L398" s="24"/>
      <c r="M398" s="24"/>
      <c r="O398" s="24"/>
      <c r="P398" s="25" t="str">
        <f t="shared" si="6"/>
        <v/>
      </c>
    </row>
    <row r="399" spans="11:16" ht="15" customHeight="1" x14ac:dyDescent="0.2">
      <c r="K399" s="24"/>
      <c r="L399" s="24"/>
      <c r="M399" s="24"/>
      <c r="O399" s="24"/>
      <c r="P399" s="25" t="str">
        <f t="shared" si="6"/>
        <v/>
      </c>
    </row>
    <row r="400" spans="11:16" ht="15" customHeight="1" x14ac:dyDescent="0.2">
      <c r="K400" s="24"/>
      <c r="L400" s="24"/>
      <c r="M400" s="24"/>
      <c r="O400" s="24"/>
      <c r="P400" s="25" t="str">
        <f t="shared" si="6"/>
        <v/>
      </c>
    </row>
    <row r="401" spans="11:16" ht="15" customHeight="1" x14ac:dyDescent="0.2">
      <c r="K401" s="24"/>
      <c r="L401" s="24"/>
      <c r="M401" s="24"/>
      <c r="O401" s="24"/>
      <c r="P401" s="25" t="str">
        <f t="shared" si="6"/>
        <v/>
      </c>
    </row>
    <row r="402" spans="11:16" ht="15" customHeight="1" x14ac:dyDescent="0.2">
      <c r="K402" s="24"/>
      <c r="L402" s="24"/>
      <c r="M402" s="24"/>
      <c r="O402" s="24"/>
      <c r="P402" s="25" t="str">
        <f t="shared" si="6"/>
        <v/>
      </c>
    </row>
    <row r="403" spans="11:16" ht="15" customHeight="1" x14ac:dyDescent="0.2">
      <c r="K403" s="24"/>
      <c r="L403" s="24"/>
      <c r="M403" s="24"/>
      <c r="O403" s="24"/>
      <c r="P403" s="25" t="str">
        <f t="shared" si="6"/>
        <v/>
      </c>
    </row>
    <row r="404" spans="11:16" ht="15" customHeight="1" x14ac:dyDescent="0.2">
      <c r="K404" s="24"/>
      <c r="L404" s="24"/>
      <c r="M404" s="24"/>
      <c r="O404" s="24"/>
      <c r="P404" s="25" t="str">
        <f t="shared" si="6"/>
        <v/>
      </c>
    </row>
    <row r="405" spans="11:16" ht="15" customHeight="1" x14ac:dyDescent="0.2">
      <c r="K405" s="24"/>
      <c r="L405" s="24"/>
      <c r="M405" s="24"/>
      <c r="O405" s="24"/>
      <c r="P405" s="25" t="str">
        <f t="shared" si="6"/>
        <v/>
      </c>
    </row>
    <row r="406" spans="11:16" ht="15" customHeight="1" x14ac:dyDescent="0.2">
      <c r="K406" s="24"/>
      <c r="L406" s="24"/>
      <c r="M406" s="24"/>
      <c r="O406" s="24"/>
      <c r="P406" s="25" t="str">
        <f t="shared" si="6"/>
        <v/>
      </c>
    </row>
    <row r="407" spans="11:16" ht="15" customHeight="1" x14ac:dyDescent="0.2">
      <c r="K407" s="24"/>
      <c r="L407" s="24"/>
      <c r="M407" s="24"/>
      <c r="O407" s="24"/>
      <c r="P407" s="25" t="str">
        <f t="shared" si="6"/>
        <v/>
      </c>
    </row>
    <row r="408" spans="11:16" ht="15" customHeight="1" x14ac:dyDescent="0.2">
      <c r="K408" s="24"/>
      <c r="L408" s="24"/>
      <c r="M408" s="24"/>
      <c r="O408" s="24"/>
      <c r="P408" s="25" t="str">
        <f t="shared" si="6"/>
        <v/>
      </c>
    </row>
    <row r="409" spans="11:16" ht="15" customHeight="1" x14ac:dyDescent="0.2">
      <c r="K409" s="24"/>
      <c r="L409" s="24"/>
      <c r="M409" s="24"/>
      <c r="O409" s="24"/>
      <c r="P409" s="25" t="str">
        <f t="shared" si="6"/>
        <v/>
      </c>
    </row>
    <row r="410" spans="11:16" ht="15" customHeight="1" x14ac:dyDescent="0.2">
      <c r="K410" s="24"/>
      <c r="L410" s="24"/>
      <c r="M410" s="24"/>
      <c r="O410" s="24"/>
      <c r="P410" s="25" t="str">
        <f t="shared" si="6"/>
        <v/>
      </c>
    </row>
    <row r="411" spans="11:16" ht="15" customHeight="1" x14ac:dyDescent="0.2">
      <c r="K411" s="24"/>
      <c r="L411" s="24"/>
      <c r="M411" s="24"/>
      <c r="O411" s="24"/>
      <c r="P411" s="25" t="str">
        <f t="shared" si="6"/>
        <v/>
      </c>
    </row>
    <row r="412" spans="11:16" ht="15" customHeight="1" x14ac:dyDescent="0.2">
      <c r="K412" s="24"/>
      <c r="L412" s="24"/>
      <c r="M412" s="24"/>
      <c r="O412" s="24"/>
      <c r="P412" s="25" t="str">
        <f t="shared" si="6"/>
        <v/>
      </c>
    </row>
    <row r="413" spans="11:16" ht="15" customHeight="1" x14ac:dyDescent="0.2">
      <c r="K413" s="24"/>
      <c r="L413" s="24"/>
      <c r="M413" s="24"/>
      <c r="O413" s="24"/>
      <c r="P413" s="25" t="str">
        <f t="shared" si="6"/>
        <v/>
      </c>
    </row>
    <row r="414" spans="11:16" ht="15" customHeight="1" x14ac:dyDescent="0.2">
      <c r="K414" s="24"/>
      <c r="L414" s="24"/>
      <c r="M414" s="24"/>
      <c r="O414" s="24"/>
      <c r="P414" s="25" t="str">
        <f t="shared" si="6"/>
        <v/>
      </c>
    </row>
    <row r="415" spans="11:16" ht="15" customHeight="1" x14ac:dyDescent="0.2">
      <c r="K415" s="24"/>
      <c r="L415" s="24"/>
      <c r="M415" s="24"/>
      <c r="O415" s="24"/>
      <c r="P415" s="25" t="str">
        <f t="shared" si="6"/>
        <v/>
      </c>
    </row>
    <row r="416" spans="11:16" ht="15" customHeight="1" x14ac:dyDescent="0.2">
      <c r="K416" s="24"/>
      <c r="L416" s="24"/>
      <c r="M416" s="24"/>
      <c r="O416" s="24"/>
      <c r="P416" s="25" t="str">
        <f t="shared" si="6"/>
        <v/>
      </c>
    </row>
    <row r="417" spans="11:16" ht="15" customHeight="1" x14ac:dyDescent="0.2">
      <c r="K417" s="24"/>
      <c r="L417" s="24"/>
      <c r="M417" s="24"/>
      <c r="O417" s="24"/>
      <c r="P417" s="25" t="str">
        <f t="shared" si="6"/>
        <v/>
      </c>
    </row>
    <row r="418" spans="11:16" ht="15" customHeight="1" x14ac:dyDescent="0.2">
      <c r="K418" s="24"/>
      <c r="L418" s="24"/>
      <c r="M418" s="24"/>
      <c r="O418" s="24"/>
      <c r="P418" s="25" t="str">
        <f t="shared" si="6"/>
        <v/>
      </c>
    </row>
    <row r="419" spans="11:16" ht="15" customHeight="1" x14ac:dyDescent="0.2">
      <c r="K419" s="24"/>
      <c r="L419" s="24"/>
      <c r="M419" s="24"/>
      <c r="O419" s="24"/>
      <c r="P419" s="25" t="str">
        <f t="shared" si="6"/>
        <v/>
      </c>
    </row>
    <row r="420" spans="11:16" ht="15" customHeight="1" x14ac:dyDescent="0.2">
      <c r="K420" s="24"/>
      <c r="L420" s="24"/>
      <c r="M420" s="24"/>
      <c r="O420" s="24"/>
      <c r="P420" s="25" t="str">
        <f t="shared" si="6"/>
        <v/>
      </c>
    </row>
    <row r="421" spans="11:16" ht="15" customHeight="1" x14ac:dyDescent="0.2">
      <c r="K421" s="24"/>
      <c r="L421" s="24"/>
      <c r="M421" s="24"/>
      <c r="O421" s="24"/>
      <c r="P421" s="25" t="str">
        <f t="shared" si="6"/>
        <v/>
      </c>
    </row>
    <row r="422" spans="11:16" ht="15" customHeight="1" x14ac:dyDescent="0.2">
      <c r="K422" s="24"/>
      <c r="L422" s="24"/>
      <c r="M422" s="24"/>
      <c r="O422" s="24"/>
      <c r="P422" s="25" t="str">
        <f t="shared" si="6"/>
        <v/>
      </c>
    </row>
    <row r="423" spans="11:16" ht="15" customHeight="1" x14ac:dyDescent="0.2">
      <c r="K423" s="24"/>
      <c r="L423" s="24"/>
      <c r="M423" s="24"/>
      <c r="O423" s="24"/>
      <c r="P423" s="25" t="str">
        <f t="shared" si="6"/>
        <v/>
      </c>
    </row>
    <row r="424" spans="11:16" ht="15" customHeight="1" x14ac:dyDescent="0.2">
      <c r="K424" s="24"/>
      <c r="L424" s="24"/>
      <c r="M424" s="24"/>
      <c r="O424" s="24"/>
      <c r="P424" s="25" t="str">
        <f t="shared" si="6"/>
        <v/>
      </c>
    </row>
    <row r="425" spans="11:16" ht="15" customHeight="1" x14ac:dyDescent="0.2">
      <c r="K425" s="24"/>
      <c r="L425" s="24"/>
      <c r="M425" s="24"/>
      <c r="O425" s="24"/>
      <c r="P425" s="25" t="str">
        <f t="shared" si="6"/>
        <v/>
      </c>
    </row>
    <row r="426" spans="11:16" ht="15" customHeight="1" x14ac:dyDescent="0.2">
      <c r="K426" s="24"/>
      <c r="L426" s="24"/>
      <c r="M426" s="24"/>
      <c r="O426" s="24"/>
      <c r="P426" s="25" t="str">
        <f t="shared" si="6"/>
        <v/>
      </c>
    </row>
    <row r="427" spans="11:16" ht="15" customHeight="1" x14ac:dyDescent="0.2">
      <c r="K427" s="24"/>
      <c r="L427" s="24"/>
      <c r="M427" s="24"/>
      <c r="O427" s="24"/>
      <c r="P427" s="25" t="str">
        <f t="shared" si="6"/>
        <v/>
      </c>
    </row>
    <row r="428" spans="11:16" ht="15" customHeight="1" x14ac:dyDescent="0.2">
      <c r="K428" s="24"/>
      <c r="L428" s="24"/>
      <c r="M428" s="24"/>
      <c r="O428" s="24"/>
      <c r="P428" s="25" t="str">
        <f t="shared" si="6"/>
        <v/>
      </c>
    </row>
    <row r="429" spans="11:16" ht="15" customHeight="1" x14ac:dyDescent="0.2">
      <c r="K429" s="24"/>
      <c r="L429" s="24"/>
      <c r="M429" s="24"/>
      <c r="O429" s="24"/>
      <c r="P429" s="25" t="str">
        <f t="shared" si="6"/>
        <v/>
      </c>
    </row>
    <row r="430" spans="11:16" ht="15" customHeight="1" x14ac:dyDescent="0.2">
      <c r="K430" s="24"/>
      <c r="L430" s="24"/>
      <c r="M430" s="24"/>
      <c r="O430" s="24"/>
      <c r="P430" s="25" t="str">
        <f t="shared" si="6"/>
        <v/>
      </c>
    </row>
    <row r="431" spans="11:16" ht="15" customHeight="1" x14ac:dyDescent="0.2">
      <c r="K431" s="24"/>
      <c r="L431" s="24"/>
      <c r="M431" s="24"/>
      <c r="O431" s="24"/>
      <c r="P431" s="25" t="str">
        <f t="shared" si="6"/>
        <v/>
      </c>
    </row>
    <row r="432" spans="11:16" ht="15" customHeight="1" x14ac:dyDescent="0.2">
      <c r="K432" s="24"/>
      <c r="L432" s="24"/>
      <c r="M432" s="24"/>
      <c r="O432" s="24"/>
      <c r="P432" s="25" t="str">
        <f t="shared" si="6"/>
        <v/>
      </c>
    </row>
    <row r="433" spans="11:16" ht="15" customHeight="1" x14ac:dyDescent="0.2">
      <c r="K433" s="24"/>
      <c r="L433" s="24"/>
      <c r="M433" s="24"/>
      <c r="O433" s="24"/>
      <c r="P433" s="25" t="str">
        <f t="shared" si="6"/>
        <v/>
      </c>
    </row>
    <row r="434" spans="11:16" ht="15" customHeight="1" x14ac:dyDescent="0.2">
      <c r="K434" s="24"/>
      <c r="L434" s="24"/>
      <c r="M434" s="24"/>
      <c r="O434" s="24"/>
      <c r="P434" s="25" t="str">
        <f t="shared" si="6"/>
        <v/>
      </c>
    </row>
    <row r="435" spans="11:16" ht="15" customHeight="1" x14ac:dyDescent="0.2">
      <c r="K435" s="24"/>
      <c r="L435" s="24"/>
      <c r="M435" s="24"/>
      <c r="O435" s="24"/>
      <c r="P435" s="25" t="str">
        <f t="shared" si="6"/>
        <v/>
      </c>
    </row>
    <row r="436" spans="11:16" ht="15" customHeight="1" x14ac:dyDescent="0.2">
      <c r="K436" s="24"/>
      <c r="L436" s="24"/>
      <c r="M436" s="24"/>
      <c r="O436" s="24"/>
      <c r="P436" s="25" t="str">
        <f t="shared" si="6"/>
        <v/>
      </c>
    </row>
    <row r="437" spans="11:16" ht="15" customHeight="1" x14ac:dyDescent="0.2">
      <c r="K437" s="24"/>
      <c r="L437" s="24"/>
      <c r="M437" s="24"/>
      <c r="O437" s="24"/>
      <c r="P437" s="25" t="str">
        <f t="shared" si="6"/>
        <v/>
      </c>
    </row>
    <row r="438" spans="11:16" ht="15" customHeight="1" x14ac:dyDescent="0.2">
      <c r="K438" s="24"/>
      <c r="L438" s="24"/>
      <c r="M438" s="24"/>
      <c r="O438" s="24"/>
      <c r="P438" s="25" t="str">
        <f t="shared" si="6"/>
        <v/>
      </c>
    </row>
    <row r="439" spans="11:16" ht="15" customHeight="1" x14ac:dyDescent="0.2">
      <c r="K439" s="24"/>
      <c r="L439" s="24"/>
      <c r="M439" s="24"/>
      <c r="O439" s="24"/>
      <c r="P439" s="25" t="str">
        <f t="shared" si="6"/>
        <v/>
      </c>
    </row>
    <row r="440" spans="11:16" ht="15" customHeight="1" x14ac:dyDescent="0.2">
      <c r="K440" s="24"/>
      <c r="L440" s="24"/>
      <c r="M440" s="24"/>
      <c r="O440" s="24"/>
      <c r="P440" s="25" t="str">
        <f t="shared" si="6"/>
        <v/>
      </c>
    </row>
    <row r="441" spans="11:16" ht="15" customHeight="1" x14ac:dyDescent="0.2">
      <c r="K441" s="24"/>
      <c r="L441" s="24"/>
      <c r="M441" s="24"/>
      <c r="O441" s="24"/>
      <c r="P441" s="25" t="str">
        <f t="shared" si="6"/>
        <v/>
      </c>
    </row>
    <row r="442" spans="11:16" ht="15" customHeight="1" x14ac:dyDescent="0.2">
      <c r="K442" s="24"/>
      <c r="L442" s="24"/>
      <c r="M442" s="24"/>
      <c r="O442" s="24"/>
      <c r="P442" s="25" t="str">
        <f t="shared" si="6"/>
        <v/>
      </c>
    </row>
    <row r="443" spans="11:16" ht="15" customHeight="1" x14ac:dyDescent="0.2">
      <c r="K443" s="24"/>
      <c r="L443" s="24"/>
      <c r="M443" s="24"/>
      <c r="O443" s="24"/>
      <c r="P443" s="25" t="str">
        <f t="shared" si="6"/>
        <v/>
      </c>
    </row>
    <row r="444" spans="11:16" ht="15" customHeight="1" x14ac:dyDescent="0.2">
      <c r="K444" s="24"/>
      <c r="L444" s="24"/>
      <c r="M444" s="24"/>
      <c r="O444" s="24"/>
      <c r="P444" s="25" t="str">
        <f t="shared" si="6"/>
        <v/>
      </c>
    </row>
    <row r="445" spans="11:16" ht="15" customHeight="1" x14ac:dyDescent="0.2">
      <c r="K445" s="24"/>
      <c r="L445" s="24"/>
      <c r="M445" s="24"/>
      <c r="O445" s="24"/>
      <c r="P445" s="25" t="str">
        <f t="shared" si="6"/>
        <v/>
      </c>
    </row>
    <row r="446" spans="11:16" ht="15" customHeight="1" x14ac:dyDescent="0.2">
      <c r="K446" s="24"/>
      <c r="L446" s="24"/>
      <c r="M446" s="24"/>
      <c r="O446" s="24"/>
      <c r="P446" s="25" t="str">
        <f t="shared" si="6"/>
        <v/>
      </c>
    </row>
    <row r="447" spans="11:16" ht="15" customHeight="1" x14ac:dyDescent="0.2">
      <c r="K447" s="24"/>
      <c r="L447" s="24"/>
      <c r="M447" s="24"/>
      <c r="O447" s="24"/>
      <c r="P447" s="25" t="str">
        <f t="shared" si="6"/>
        <v/>
      </c>
    </row>
    <row r="448" spans="11:16" ht="15" customHeight="1" x14ac:dyDescent="0.2">
      <c r="K448" s="24"/>
      <c r="L448" s="24"/>
      <c r="M448" s="24"/>
      <c r="O448" s="24"/>
      <c r="P448" s="25" t="str">
        <f t="shared" si="6"/>
        <v/>
      </c>
    </row>
    <row r="449" spans="11:16" ht="15" customHeight="1" x14ac:dyDescent="0.2">
      <c r="K449" s="24"/>
      <c r="L449" s="24"/>
      <c r="M449" s="24"/>
      <c r="O449" s="24"/>
      <c r="P449" s="25" t="str">
        <f t="shared" si="6"/>
        <v/>
      </c>
    </row>
    <row r="450" spans="11:16" ht="15" customHeight="1" x14ac:dyDescent="0.2">
      <c r="K450" s="24"/>
      <c r="L450" s="24"/>
      <c r="M450" s="24"/>
      <c r="O450" s="24"/>
      <c r="P450" s="25" t="str">
        <f t="shared" si="6"/>
        <v/>
      </c>
    </row>
    <row r="451" spans="11:16" ht="15" customHeight="1" x14ac:dyDescent="0.2">
      <c r="K451" s="24"/>
      <c r="L451" s="24"/>
      <c r="M451" s="24"/>
      <c r="O451" s="24"/>
      <c r="P451" s="25" t="str">
        <f t="shared" si="6"/>
        <v/>
      </c>
    </row>
    <row r="452" spans="11:16" ht="15" customHeight="1" x14ac:dyDescent="0.2">
      <c r="K452" s="24"/>
      <c r="L452" s="24"/>
      <c r="M452" s="24"/>
      <c r="O452" s="24"/>
      <c r="P452" s="25" t="str">
        <f t="shared" si="6"/>
        <v/>
      </c>
    </row>
    <row r="453" spans="11:16" ht="15" customHeight="1" x14ac:dyDescent="0.2">
      <c r="K453" s="24"/>
      <c r="L453" s="24"/>
      <c r="M453" s="24"/>
      <c r="O453" s="24"/>
      <c r="P453" s="25" t="str">
        <f t="shared" ref="P453:P516" si="7">IF(A453="","",COUNTIF(E453:I453,"Yes"))</f>
        <v/>
      </c>
    </row>
    <row r="454" spans="11:16" ht="15" customHeight="1" x14ac:dyDescent="0.2">
      <c r="K454" s="24"/>
      <c r="L454" s="24"/>
      <c r="M454" s="24"/>
      <c r="O454" s="24"/>
      <c r="P454" s="25" t="str">
        <f t="shared" si="7"/>
        <v/>
      </c>
    </row>
    <row r="455" spans="11:16" ht="15" customHeight="1" x14ac:dyDescent="0.2">
      <c r="K455" s="24"/>
      <c r="L455" s="24"/>
      <c r="M455" s="24"/>
      <c r="O455" s="24"/>
      <c r="P455" s="25" t="str">
        <f t="shared" si="7"/>
        <v/>
      </c>
    </row>
    <row r="456" spans="11:16" ht="15" customHeight="1" x14ac:dyDescent="0.2">
      <c r="K456" s="24"/>
      <c r="L456" s="24"/>
      <c r="M456" s="24"/>
      <c r="O456" s="24"/>
      <c r="P456" s="25" t="str">
        <f t="shared" si="7"/>
        <v/>
      </c>
    </row>
    <row r="457" spans="11:16" ht="15" customHeight="1" x14ac:dyDescent="0.2">
      <c r="K457" s="24"/>
      <c r="L457" s="24"/>
      <c r="M457" s="24"/>
      <c r="O457" s="24"/>
      <c r="P457" s="25" t="str">
        <f t="shared" si="7"/>
        <v/>
      </c>
    </row>
    <row r="458" spans="11:16" ht="15" customHeight="1" x14ac:dyDescent="0.2">
      <c r="K458" s="24"/>
      <c r="L458" s="24"/>
      <c r="M458" s="24"/>
      <c r="O458" s="24"/>
      <c r="P458" s="25" t="str">
        <f t="shared" si="7"/>
        <v/>
      </c>
    </row>
    <row r="459" spans="11:16" ht="15" customHeight="1" x14ac:dyDescent="0.2">
      <c r="K459" s="24"/>
      <c r="L459" s="24"/>
      <c r="M459" s="24"/>
      <c r="O459" s="24"/>
      <c r="P459" s="25" t="str">
        <f t="shared" si="7"/>
        <v/>
      </c>
    </row>
    <row r="460" spans="11:16" ht="15" customHeight="1" x14ac:dyDescent="0.2">
      <c r="K460" s="24"/>
      <c r="L460" s="24"/>
      <c r="M460" s="24"/>
      <c r="O460" s="24"/>
      <c r="P460" s="25" t="str">
        <f t="shared" si="7"/>
        <v/>
      </c>
    </row>
    <row r="461" spans="11:16" ht="15" customHeight="1" x14ac:dyDescent="0.2">
      <c r="K461" s="24"/>
      <c r="L461" s="24"/>
      <c r="M461" s="24"/>
      <c r="O461" s="24"/>
      <c r="P461" s="25" t="str">
        <f t="shared" si="7"/>
        <v/>
      </c>
    </row>
    <row r="462" spans="11:16" ht="15" customHeight="1" x14ac:dyDescent="0.2">
      <c r="K462" s="24"/>
      <c r="L462" s="24"/>
      <c r="M462" s="24"/>
      <c r="O462" s="24"/>
      <c r="P462" s="25" t="str">
        <f t="shared" si="7"/>
        <v/>
      </c>
    </row>
    <row r="463" spans="11:16" ht="15" customHeight="1" x14ac:dyDescent="0.2">
      <c r="K463" s="24"/>
      <c r="L463" s="24"/>
      <c r="M463" s="24"/>
      <c r="O463" s="24"/>
      <c r="P463" s="25" t="str">
        <f t="shared" si="7"/>
        <v/>
      </c>
    </row>
    <row r="464" spans="11:16" ht="15" customHeight="1" x14ac:dyDescent="0.2">
      <c r="K464" s="24"/>
      <c r="L464" s="24"/>
      <c r="M464" s="24"/>
      <c r="O464" s="24"/>
      <c r="P464" s="25" t="str">
        <f t="shared" si="7"/>
        <v/>
      </c>
    </row>
    <row r="465" spans="11:16" ht="15" customHeight="1" x14ac:dyDescent="0.2">
      <c r="K465" s="24"/>
      <c r="L465" s="24"/>
      <c r="M465" s="24"/>
      <c r="O465" s="24"/>
      <c r="P465" s="25" t="str">
        <f t="shared" si="7"/>
        <v/>
      </c>
    </row>
    <row r="466" spans="11:16" ht="15" customHeight="1" x14ac:dyDescent="0.2">
      <c r="K466" s="24"/>
      <c r="L466" s="24"/>
      <c r="M466" s="24"/>
      <c r="O466" s="24"/>
      <c r="P466" s="25" t="str">
        <f t="shared" si="7"/>
        <v/>
      </c>
    </row>
    <row r="467" spans="11:16" ht="15" customHeight="1" x14ac:dyDescent="0.2">
      <c r="K467" s="24"/>
      <c r="L467" s="24"/>
      <c r="M467" s="24"/>
      <c r="O467" s="24"/>
      <c r="P467" s="25" t="str">
        <f t="shared" si="7"/>
        <v/>
      </c>
    </row>
    <row r="468" spans="11:16" ht="15" customHeight="1" x14ac:dyDescent="0.2">
      <c r="K468" s="24"/>
      <c r="L468" s="24"/>
      <c r="M468" s="24"/>
      <c r="O468" s="24"/>
      <c r="P468" s="25" t="str">
        <f t="shared" si="7"/>
        <v/>
      </c>
    </row>
    <row r="469" spans="11:16" ht="15" customHeight="1" x14ac:dyDescent="0.2">
      <c r="K469" s="24"/>
      <c r="L469" s="24"/>
      <c r="M469" s="24"/>
      <c r="O469" s="24"/>
      <c r="P469" s="25" t="str">
        <f t="shared" si="7"/>
        <v/>
      </c>
    </row>
    <row r="470" spans="11:16" ht="15" customHeight="1" x14ac:dyDescent="0.2">
      <c r="K470" s="24"/>
      <c r="L470" s="24"/>
      <c r="M470" s="24"/>
      <c r="O470" s="24"/>
      <c r="P470" s="25" t="str">
        <f t="shared" si="7"/>
        <v/>
      </c>
    </row>
    <row r="471" spans="11:16" ht="15" customHeight="1" x14ac:dyDescent="0.2">
      <c r="K471" s="24"/>
      <c r="L471" s="24"/>
      <c r="M471" s="24"/>
      <c r="O471" s="24"/>
      <c r="P471" s="25" t="str">
        <f t="shared" si="7"/>
        <v/>
      </c>
    </row>
    <row r="472" spans="11:16" ht="15" customHeight="1" x14ac:dyDescent="0.2">
      <c r="K472" s="24"/>
      <c r="L472" s="24"/>
      <c r="M472" s="24"/>
      <c r="O472" s="24"/>
      <c r="P472" s="25" t="str">
        <f t="shared" si="7"/>
        <v/>
      </c>
    </row>
    <row r="473" spans="11:16" ht="15" customHeight="1" x14ac:dyDescent="0.2">
      <c r="K473" s="24"/>
      <c r="L473" s="24"/>
      <c r="M473" s="24"/>
      <c r="O473" s="24"/>
      <c r="P473" s="25" t="str">
        <f t="shared" si="7"/>
        <v/>
      </c>
    </row>
    <row r="474" spans="11:16" ht="15" customHeight="1" x14ac:dyDescent="0.2">
      <c r="K474" s="24"/>
      <c r="L474" s="24"/>
      <c r="M474" s="24"/>
      <c r="O474" s="24"/>
      <c r="P474" s="25" t="str">
        <f t="shared" si="7"/>
        <v/>
      </c>
    </row>
    <row r="475" spans="11:16" ht="15" customHeight="1" x14ac:dyDescent="0.2">
      <c r="K475" s="24"/>
      <c r="L475" s="24"/>
      <c r="M475" s="24"/>
      <c r="O475" s="24"/>
      <c r="P475" s="25" t="str">
        <f t="shared" si="7"/>
        <v/>
      </c>
    </row>
    <row r="476" spans="11:16" ht="15" customHeight="1" x14ac:dyDescent="0.2">
      <c r="K476" s="24"/>
      <c r="L476" s="24"/>
      <c r="M476" s="24"/>
      <c r="O476" s="24"/>
      <c r="P476" s="25" t="str">
        <f t="shared" si="7"/>
        <v/>
      </c>
    </row>
    <row r="477" spans="11:16" ht="15" customHeight="1" x14ac:dyDescent="0.2">
      <c r="K477" s="24"/>
      <c r="L477" s="24"/>
      <c r="M477" s="24"/>
      <c r="O477" s="24"/>
      <c r="P477" s="25" t="str">
        <f t="shared" si="7"/>
        <v/>
      </c>
    </row>
    <row r="478" spans="11:16" ht="15" customHeight="1" x14ac:dyDescent="0.2">
      <c r="K478" s="24"/>
      <c r="L478" s="24"/>
      <c r="M478" s="24"/>
      <c r="O478" s="24"/>
      <c r="P478" s="25" t="str">
        <f t="shared" si="7"/>
        <v/>
      </c>
    </row>
    <row r="479" spans="11:16" ht="15" customHeight="1" x14ac:dyDescent="0.2">
      <c r="K479" s="24"/>
      <c r="L479" s="24"/>
      <c r="M479" s="24"/>
      <c r="O479" s="24"/>
      <c r="P479" s="25" t="str">
        <f t="shared" si="7"/>
        <v/>
      </c>
    </row>
    <row r="480" spans="11:16" ht="15" customHeight="1" x14ac:dyDescent="0.2">
      <c r="K480" s="24"/>
      <c r="L480" s="24"/>
      <c r="M480" s="24"/>
      <c r="O480" s="24"/>
      <c r="P480" s="25" t="str">
        <f t="shared" si="7"/>
        <v/>
      </c>
    </row>
    <row r="481" spans="11:16" ht="15" customHeight="1" x14ac:dyDescent="0.2">
      <c r="K481" s="24"/>
      <c r="L481" s="24"/>
      <c r="M481" s="24"/>
      <c r="O481" s="24"/>
      <c r="P481" s="25" t="str">
        <f t="shared" si="7"/>
        <v/>
      </c>
    </row>
    <row r="482" spans="11:16" ht="15" customHeight="1" x14ac:dyDescent="0.2">
      <c r="K482" s="24"/>
      <c r="L482" s="24"/>
      <c r="M482" s="24"/>
      <c r="O482" s="24"/>
      <c r="P482" s="25" t="str">
        <f t="shared" si="7"/>
        <v/>
      </c>
    </row>
    <row r="483" spans="11:16" ht="15" customHeight="1" x14ac:dyDescent="0.2">
      <c r="K483" s="24"/>
      <c r="L483" s="24"/>
      <c r="M483" s="24"/>
      <c r="O483" s="24"/>
      <c r="P483" s="25" t="str">
        <f t="shared" si="7"/>
        <v/>
      </c>
    </row>
    <row r="484" spans="11:16" ht="15" customHeight="1" x14ac:dyDescent="0.2">
      <c r="K484" s="24"/>
      <c r="L484" s="24"/>
      <c r="M484" s="24"/>
      <c r="O484" s="24"/>
      <c r="P484" s="25" t="str">
        <f t="shared" si="7"/>
        <v/>
      </c>
    </row>
    <row r="485" spans="11:16" ht="15" customHeight="1" x14ac:dyDescent="0.2">
      <c r="K485" s="24"/>
      <c r="L485" s="24"/>
      <c r="M485" s="24"/>
      <c r="O485" s="24"/>
      <c r="P485" s="25" t="str">
        <f t="shared" si="7"/>
        <v/>
      </c>
    </row>
    <row r="486" spans="11:16" ht="15" customHeight="1" x14ac:dyDescent="0.2">
      <c r="K486" s="24"/>
      <c r="L486" s="24"/>
      <c r="M486" s="24"/>
      <c r="O486" s="24"/>
      <c r="P486" s="25" t="str">
        <f t="shared" si="7"/>
        <v/>
      </c>
    </row>
    <row r="487" spans="11:16" ht="15" customHeight="1" x14ac:dyDescent="0.2">
      <c r="K487" s="24"/>
      <c r="L487" s="24"/>
      <c r="M487" s="24"/>
      <c r="O487" s="24"/>
      <c r="P487" s="25" t="str">
        <f t="shared" si="7"/>
        <v/>
      </c>
    </row>
    <row r="488" spans="11:16" ht="15" customHeight="1" x14ac:dyDescent="0.2">
      <c r="K488" s="24"/>
      <c r="L488" s="24"/>
      <c r="M488" s="24"/>
      <c r="O488" s="24"/>
      <c r="P488" s="25" t="str">
        <f t="shared" si="7"/>
        <v/>
      </c>
    </row>
    <row r="489" spans="11:16" ht="15" customHeight="1" x14ac:dyDescent="0.2">
      <c r="K489" s="24"/>
      <c r="L489" s="24"/>
      <c r="M489" s="24"/>
      <c r="O489" s="24"/>
      <c r="P489" s="25" t="str">
        <f t="shared" si="7"/>
        <v/>
      </c>
    </row>
    <row r="490" spans="11:16" ht="15" customHeight="1" x14ac:dyDescent="0.2">
      <c r="K490" s="24"/>
      <c r="L490" s="24"/>
      <c r="M490" s="24"/>
      <c r="O490" s="24"/>
      <c r="P490" s="25" t="str">
        <f t="shared" si="7"/>
        <v/>
      </c>
    </row>
    <row r="491" spans="11:16" ht="15" customHeight="1" x14ac:dyDescent="0.2">
      <c r="K491" s="24"/>
      <c r="L491" s="24"/>
      <c r="M491" s="24"/>
      <c r="O491" s="24"/>
      <c r="P491" s="25" t="str">
        <f t="shared" si="7"/>
        <v/>
      </c>
    </row>
    <row r="492" spans="11:16" ht="15" customHeight="1" x14ac:dyDescent="0.2">
      <c r="K492" s="24"/>
      <c r="L492" s="24"/>
      <c r="M492" s="24"/>
      <c r="O492" s="24"/>
      <c r="P492" s="25" t="str">
        <f t="shared" si="7"/>
        <v/>
      </c>
    </row>
    <row r="493" spans="11:16" ht="15" customHeight="1" x14ac:dyDescent="0.2">
      <c r="K493" s="24"/>
      <c r="L493" s="24"/>
      <c r="M493" s="24"/>
      <c r="O493" s="24"/>
      <c r="P493" s="25" t="str">
        <f t="shared" si="7"/>
        <v/>
      </c>
    </row>
    <row r="494" spans="11:16" ht="15" customHeight="1" x14ac:dyDescent="0.2">
      <c r="K494" s="24"/>
      <c r="L494" s="24"/>
      <c r="M494" s="24"/>
      <c r="O494" s="24"/>
      <c r="P494" s="25" t="str">
        <f t="shared" si="7"/>
        <v/>
      </c>
    </row>
    <row r="495" spans="11:16" ht="15" customHeight="1" x14ac:dyDescent="0.2">
      <c r="K495" s="24"/>
      <c r="L495" s="24"/>
      <c r="M495" s="24"/>
      <c r="O495" s="24"/>
      <c r="P495" s="25" t="str">
        <f t="shared" si="7"/>
        <v/>
      </c>
    </row>
    <row r="496" spans="11:16" ht="15" customHeight="1" x14ac:dyDescent="0.2">
      <c r="K496" s="24"/>
      <c r="L496" s="24"/>
      <c r="M496" s="24"/>
      <c r="O496" s="24"/>
      <c r="P496" s="25" t="str">
        <f t="shared" si="7"/>
        <v/>
      </c>
    </row>
    <row r="497" spans="11:16" ht="15" customHeight="1" x14ac:dyDescent="0.2">
      <c r="K497" s="24"/>
      <c r="L497" s="24"/>
      <c r="M497" s="24"/>
      <c r="O497" s="24"/>
      <c r="P497" s="25" t="str">
        <f t="shared" si="7"/>
        <v/>
      </c>
    </row>
    <row r="498" spans="11:16" ht="15" customHeight="1" x14ac:dyDescent="0.2">
      <c r="K498" s="24"/>
      <c r="L498" s="24"/>
      <c r="M498" s="24"/>
      <c r="O498" s="24"/>
      <c r="P498" s="25" t="str">
        <f t="shared" si="7"/>
        <v/>
      </c>
    </row>
    <row r="499" spans="11:16" ht="15" customHeight="1" x14ac:dyDescent="0.2">
      <c r="K499" s="24"/>
      <c r="L499" s="24"/>
      <c r="M499" s="24"/>
      <c r="O499" s="24"/>
      <c r="P499" s="25" t="str">
        <f t="shared" si="7"/>
        <v/>
      </c>
    </row>
    <row r="500" spans="11:16" ht="15" customHeight="1" x14ac:dyDescent="0.2">
      <c r="K500" s="24"/>
      <c r="L500" s="24"/>
      <c r="M500" s="24"/>
      <c r="O500" s="24"/>
      <c r="P500" s="25" t="str">
        <f t="shared" si="7"/>
        <v/>
      </c>
    </row>
    <row r="501" spans="11:16" ht="15" customHeight="1" x14ac:dyDescent="0.2">
      <c r="K501" s="24"/>
      <c r="L501" s="24"/>
      <c r="M501" s="24"/>
      <c r="O501" s="24"/>
      <c r="P501" s="25" t="str">
        <f t="shared" si="7"/>
        <v/>
      </c>
    </row>
    <row r="502" spans="11:16" ht="15" customHeight="1" x14ac:dyDescent="0.2">
      <c r="K502" s="24"/>
      <c r="L502" s="24"/>
      <c r="M502" s="24"/>
      <c r="O502" s="24"/>
      <c r="P502" s="25" t="str">
        <f t="shared" si="7"/>
        <v/>
      </c>
    </row>
    <row r="503" spans="11:16" ht="15" customHeight="1" x14ac:dyDescent="0.2">
      <c r="K503" s="24"/>
      <c r="L503" s="24"/>
      <c r="M503" s="24"/>
      <c r="O503" s="24"/>
      <c r="P503" s="25" t="str">
        <f t="shared" si="7"/>
        <v/>
      </c>
    </row>
    <row r="504" spans="11:16" ht="15" customHeight="1" x14ac:dyDescent="0.2">
      <c r="K504" s="24"/>
      <c r="L504" s="24"/>
      <c r="M504" s="24"/>
      <c r="O504" s="24"/>
      <c r="P504" s="25" t="str">
        <f t="shared" si="7"/>
        <v/>
      </c>
    </row>
    <row r="505" spans="11:16" ht="15" customHeight="1" x14ac:dyDescent="0.2">
      <c r="K505" s="24"/>
      <c r="L505" s="24"/>
      <c r="M505" s="24"/>
      <c r="O505" s="24"/>
      <c r="P505" s="25" t="str">
        <f t="shared" si="7"/>
        <v/>
      </c>
    </row>
    <row r="506" spans="11:16" ht="15" customHeight="1" x14ac:dyDescent="0.2">
      <c r="K506" s="24"/>
      <c r="L506" s="24"/>
      <c r="M506" s="24"/>
      <c r="O506" s="24"/>
      <c r="P506" s="25" t="str">
        <f t="shared" si="7"/>
        <v/>
      </c>
    </row>
    <row r="507" spans="11:16" ht="15" customHeight="1" x14ac:dyDescent="0.2">
      <c r="K507" s="24"/>
      <c r="L507" s="24"/>
      <c r="M507" s="24"/>
      <c r="O507" s="24"/>
      <c r="P507" s="25" t="str">
        <f t="shared" si="7"/>
        <v/>
      </c>
    </row>
    <row r="508" spans="11:16" ht="15" customHeight="1" x14ac:dyDescent="0.2">
      <c r="K508" s="24"/>
      <c r="L508" s="24"/>
      <c r="M508" s="24"/>
      <c r="O508" s="24"/>
      <c r="P508" s="25" t="str">
        <f t="shared" si="7"/>
        <v/>
      </c>
    </row>
    <row r="509" spans="11:16" ht="15" customHeight="1" x14ac:dyDescent="0.2">
      <c r="K509" s="24"/>
      <c r="L509" s="24"/>
      <c r="M509" s="24"/>
      <c r="O509" s="24"/>
      <c r="P509" s="25" t="str">
        <f t="shared" si="7"/>
        <v/>
      </c>
    </row>
    <row r="510" spans="11:16" ht="15" customHeight="1" x14ac:dyDescent="0.2">
      <c r="K510" s="24"/>
      <c r="L510" s="24"/>
      <c r="M510" s="24"/>
      <c r="O510" s="24"/>
      <c r="P510" s="25" t="str">
        <f t="shared" si="7"/>
        <v/>
      </c>
    </row>
    <row r="511" spans="11:16" ht="15" customHeight="1" x14ac:dyDescent="0.2">
      <c r="K511" s="24"/>
      <c r="L511" s="24"/>
      <c r="M511" s="24"/>
      <c r="O511" s="24"/>
      <c r="P511" s="25" t="str">
        <f t="shared" si="7"/>
        <v/>
      </c>
    </row>
    <row r="512" spans="11:16" ht="15" customHeight="1" x14ac:dyDescent="0.2">
      <c r="K512" s="24"/>
      <c r="L512" s="24"/>
      <c r="M512" s="24"/>
      <c r="O512" s="24"/>
      <c r="P512" s="25" t="str">
        <f t="shared" si="7"/>
        <v/>
      </c>
    </row>
    <row r="513" spans="11:16" ht="15" customHeight="1" x14ac:dyDescent="0.2">
      <c r="K513" s="24"/>
      <c r="L513" s="24"/>
      <c r="M513" s="24"/>
      <c r="O513" s="24"/>
      <c r="P513" s="25" t="str">
        <f t="shared" si="7"/>
        <v/>
      </c>
    </row>
    <row r="514" spans="11:16" ht="15" customHeight="1" x14ac:dyDescent="0.2">
      <c r="K514" s="24"/>
      <c r="L514" s="24"/>
      <c r="M514" s="24"/>
      <c r="O514" s="24"/>
      <c r="P514" s="25" t="str">
        <f t="shared" si="7"/>
        <v/>
      </c>
    </row>
    <row r="515" spans="11:16" ht="15" customHeight="1" x14ac:dyDescent="0.2">
      <c r="K515" s="24"/>
      <c r="L515" s="24"/>
      <c r="M515" s="24"/>
      <c r="O515" s="24"/>
      <c r="P515" s="25" t="str">
        <f t="shared" si="7"/>
        <v/>
      </c>
    </row>
    <row r="516" spans="11:16" ht="15" customHeight="1" x14ac:dyDescent="0.2">
      <c r="K516" s="24"/>
      <c r="L516" s="24"/>
      <c r="M516" s="24"/>
      <c r="O516" s="24"/>
      <c r="P516" s="25" t="str">
        <f t="shared" si="7"/>
        <v/>
      </c>
    </row>
    <row r="517" spans="11:16" ht="15" customHeight="1" x14ac:dyDescent="0.2">
      <c r="K517" s="24"/>
      <c r="L517" s="24"/>
      <c r="M517" s="24"/>
      <c r="O517" s="24"/>
      <c r="P517" s="25" t="str">
        <f t="shared" ref="P517:P580" si="8">IF(A517="","",COUNTIF(E517:I517,"Yes"))</f>
        <v/>
      </c>
    </row>
    <row r="518" spans="11:16" ht="15" customHeight="1" x14ac:dyDescent="0.2">
      <c r="K518" s="24"/>
      <c r="L518" s="24"/>
      <c r="M518" s="24"/>
      <c r="O518" s="24"/>
      <c r="P518" s="25" t="str">
        <f t="shared" si="8"/>
        <v/>
      </c>
    </row>
    <row r="519" spans="11:16" ht="15" customHeight="1" x14ac:dyDescent="0.2">
      <c r="K519" s="24"/>
      <c r="L519" s="24"/>
      <c r="M519" s="24"/>
      <c r="O519" s="24"/>
      <c r="P519" s="25" t="str">
        <f t="shared" si="8"/>
        <v/>
      </c>
    </row>
    <row r="520" spans="11:16" ht="15" customHeight="1" x14ac:dyDescent="0.2">
      <c r="K520" s="24"/>
      <c r="L520" s="24"/>
      <c r="M520" s="24"/>
      <c r="O520" s="24"/>
      <c r="P520" s="25" t="str">
        <f t="shared" si="8"/>
        <v/>
      </c>
    </row>
    <row r="521" spans="11:16" ht="15" customHeight="1" x14ac:dyDescent="0.2">
      <c r="K521" s="24"/>
      <c r="L521" s="24"/>
      <c r="M521" s="24"/>
      <c r="O521" s="24"/>
      <c r="P521" s="25" t="str">
        <f t="shared" si="8"/>
        <v/>
      </c>
    </row>
    <row r="522" spans="11:16" ht="15" customHeight="1" x14ac:dyDescent="0.2">
      <c r="K522" s="24"/>
      <c r="L522" s="24"/>
      <c r="M522" s="24"/>
      <c r="O522" s="24"/>
      <c r="P522" s="25" t="str">
        <f t="shared" si="8"/>
        <v/>
      </c>
    </row>
    <row r="523" spans="11:16" ht="15" customHeight="1" x14ac:dyDescent="0.2">
      <c r="K523" s="24"/>
      <c r="L523" s="24"/>
      <c r="M523" s="24"/>
      <c r="O523" s="24"/>
      <c r="P523" s="25" t="str">
        <f t="shared" si="8"/>
        <v/>
      </c>
    </row>
    <row r="524" spans="11:16" ht="15" customHeight="1" x14ac:dyDescent="0.2">
      <c r="K524" s="24"/>
      <c r="L524" s="24"/>
      <c r="M524" s="24"/>
      <c r="O524" s="24"/>
      <c r="P524" s="25" t="str">
        <f t="shared" si="8"/>
        <v/>
      </c>
    </row>
    <row r="525" spans="11:16" ht="15" customHeight="1" x14ac:dyDescent="0.2">
      <c r="K525" s="24"/>
      <c r="L525" s="24"/>
      <c r="M525" s="24"/>
      <c r="O525" s="24"/>
      <c r="P525" s="25" t="str">
        <f t="shared" si="8"/>
        <v/>
      </c>
    </row>
    <row r="526" spans="11:16" ht="15" customHeight="1" x14ac:dyDescent="0.2">
      <c r="K526" s="24"/>
      <c r="L526" s="24"/>
      <c r="M526" s="24"/>
      <c r="O526" s="24"/>
      <c r="P526" s="25" t="str">
        <f t="shared" si="8"/>
        <v/>
      </c>
    </row>
    <row r="527" spans="11:16" ht="15" customHeight="1" x14ac:dyDescent="0.2">
      <c r="K527" s="24"/>
      <c r="L527" s="24"/>
      <c r="M527" s="24"/>
      <c r="O527" s="24"/>
      <c r="P527" s="25" t="str">
        <f t="shared" si="8"/>
        <v/>
      </c>
    </row>
    <row r="528" spans="11:16" ht="15" customHeight="1" x14ac:dyDescent="0.2">
      <c r="K528" s="24"/>
      <c r="L528" s="24"/>
      <c r="M528" s="24"/>
      <c r="O528" s="24"/>
      <c r="P528" s="25" t="str">
        <f t="shared" si="8"/>
        <v/>
      </c>
    </row>
    <row r="529" spans="11:16" ht="15" customHeight="1" x14ac:dyDescent="0.2">
      <c r="K529" s="24"/>
      <c r="L529" s="24"/>
      <c r="M529" s="24"/>
      <c r="O529" s="24"/>
      <c r="P529" s="25" t="str">
        <f t="shared" si="8"/>
        <v/>
      </c>
    </row>
    <row r="530" spans="11:16" ht="15" customHeight="1" x14ac:dyDescent="0.2">
      <c r="K530" s="24"/>
      <c r="L530" s="24"/>
      <c r="M530" s="24"/>
      <c r="O530" s="24"/>
      <c r="P530" s="25" t="str">
        <f t="shared" si="8"/>
        <v/>
      </c>
    </row>
    <row r="531" spans="11:16" ht="15" customHeight="1" x14ac:dyDescent="0.2">
      <c r="K531" s="24"/>
      <c r="L531" s="24"/>
      <c r="M531" s="24"/>
      <c r="O531" s="24"/>
      <c r="P531" s="25" t="str">
        <f t="shared" si="8"/>
        <v/>
      </c>
    </row>
    <row r="532" spans="11:16" ht="15" customHeight="1" x14ac:dyDescent="0.2">
      <c r="K532" s="24"/>
      <c r="L532" s="24"/>
      <c r="M532" s="24"/>
      <c r="O532" s="24"/>
      <c r="P532" s="25" t="str">
        <f t="shared" si="8"/>
        <v/>
      </c>
    </row>
    <row r="533" spans="11:16" ht="15" customHeight="1" x14ac:dyDescent="0.2">
      <c r="K533" s="24"/>
      <c r="L533" s="24"/>
      <c r="M533" s="24"/>
      <c r="O533" s="24"/>
      <c r="P533" s="25" t="str">
        <f t="shared" si="8"/>
        <v/>
      </c>
    </row>
    <row r="534" spans="11:16" ht="15" customHeight="1" x14ac:dyDescent="0.2">
      <c r="K534" s="24"/>
      <c r="L534" s="24"/>
      <c r="M534" s="24"/>
      <c r="O534" s="24"/>
      <c r="P534" s="25" t="str">
        <f t="shared" si="8"/>
        <v/>
      </c>
    </row>
    <row r="535" spans="11:16" ht="15" customHeight="1" x14ac:dyDescent="0.2">
      <c r="K535" s="24"/>
      <c r="L535" s="24"/>
      <c r="M535" s="24"/>
      <c r="O535" s="24"/>
      <c r="P535" s="25" t="str">
        <f t="shared" si="8"/>
        <v/>
      </c>
    </row>
    <row r="536" spans="11:16" ht="15" customHeight="1" x14ac:dyDescent="0.2">
      <c r="K536" s="24"/>
      <c r="L536" s="24"/>
      <c r="M536" s="24"/>
      <c r="O536" s="24"/>
      <c r="P536" s="25" t="str">
        <f t="shared" si="8"/>
        <v/>
      </c>
    </row>
    <row r="537" spans="11:16" ht="15" customHeight="1" x14ac:dyDescent="0.2">
      <c r="K537" s="24"/>
      <c r="L537" s="24"/>
      <c r="M537" s="24"/>
      <c r="O537" s="24"/>
      <c r="P537" s="25" t="str">
        <f t="shared" si="8"/>
        <v/>
      </c>
    </row>
    <row r="538" spans="11:16" ht="15" customHeight="1" x14ac:dyDescent="0.2">
      <c r="K538" s="24"/>
      <c r="L538" s="24"/>
      <c r="M538" s="24"/>
      <c r="O538" s="24"/>
      <c r="P538" s="25" t="str">
        <f t="shared" si="8"/>
        <v/>
      </c>
    </row>
    <row r="539" spans="11:16" ht="15" customHeight="1" x14ac:dyDescent="0.2">
      <c r="K539" s="24"/>
      <c r="L539" s="24"/>
      <c r="M539" s="24"/>
      <c r="O539" s="24"/>
      <c r="P539" s="25" t="str">
        <f t="shared" si="8"/>
        <v/>
      </c>
    </row>
    <row r="540" spans="11:16" ht="15" customHeight="1" x14ac:dyDescent="0.2">
      <c r="K540" s="24"/>
      <c r="L540" s="24"/>
      <c r="M540" s="24"/>
      <c r="O540" s="24"/>
      <c r="P540" s="25" t="str">
        <f t="shared" si="8"/>
        <v/>
      </c>
    </row>
    <row r="541" spans="11:16" ht="15" customHeight="1" x14ac:dyDescent="0.2">
      <c r="K541" s="24"/>
      <c r="L541" s="24"/>
      <c r="M541" s="24"/>
      <c r="O541" s="24"/>
      <c r="P541" s="25" t="str">
        <f t="shared" si="8"/>
        <v/>
      </c>
    </row>
    <row r="542" spans="11:16" ht="15" customHeight="1" x14ac:dyDescent="0.2">
      <c r="K542" s="24"/>
      <c r="L542" s="24"/>
      <c r="M542" s="24"/>
      <c r="O542" s="24"/>
      <c r="P542" s="25" t="str">
        <f t="shared" si="8"/>
        <v/>
      </c>
    </row>
    <row r="543" spans="11:16" ht="15" customHeight="1" x14ac:dyDescent="0.2">
      <c r="K543" s="24"/>
      <c r="L543" s="24"/>
      <c r="M543" s="24"/>
      <c r="O543" s="24"/>
      <c r="P543" s="25" t="str">
        <f t="shared" si="8"/>
        <v/>
      </c>
    </row>
    <row r="544" spans="11:16" ht="15" customHeight="1" x14ac:dyDescent="0.2">
      <c r="K544" s="24"/>
      <c r="L544" s="24"/>
      <c r="M544" s="24"/>
      <c r="O544" s="24"/>
      <c r="P544" s="25" t="str">
        <f t="shared" si="8"/>
        <v/>
      </c>
    </row>
    <row r="545" spans="11:16" ht="15" customHeight="1" x14ac:dyDescent="0.2">
      <c r="K545" s="24"/>
      <c r="L545" s="24"/>
      <c r="M545" s="24"/>
      <c r="O545" s="24"/>
      <c r="P545" s="25" t="str">
        <f t="shared" si="8"/>
        <v/>
      </c>
    </row>
    <row r="546" spans="11:16" ht="15" customHeight="1" x14ac:dyDescent="0.2">
      <c r="K546" s="24"/>
      <c r="L546" s="24"/>
      <c r="M546" s="24"/>
      <c r="O546" s="24"/>
      <c r="P546" s="25" t="str">
        <f t="shared" si="8"/>
        <v/>
      </c>
    </row>
    <row r="547" spans="11:16" ht="15" customHeight="1" x14ac:dyDescent="0.2">
      <c r="K547" s="24"/>
      <c r="L547" s="24"/>
      <c r="M547" s="24"/>
      <c r="O547" s="24"/>
      <c r="P547" s="25" t="str">
        <f t="shared" si="8"/>
        <v/>
      </c>
    </row>
    <row r="548" spans="11:16" ht="15" customHeight="1" x14ac:dyDescent="0.2">
      <c r="K548" s="24"/>
      <c r="L548" s="24"/>
      <c r="M548" s="24"/>
      <c r="O548" s="24"/>
      <c r="P548" s="25" t="str">
        <f t="shared" si="8"/>
        <v/>
      </c>
    </row>
    <row r="549" spans="11:16" ht="15" customHeight="1" x14ac:dyDescent="0.2">
      <c r="K549" s="24"/>
      <c r="L549" s="24"/>
      <c r="M549" s="24"/>
      <c r="O549" s="24"/>
      <c r="P549" s="25" t="str">
        <f t="shared" si="8"/>
        <v/>
      </c>
    </row>
    <row r="550" spans="11:16" ht="15" customHeight="1" x14ac:dyDescent="0.2">
      <c r="K550" s="24"/>
      <c r="L550" s="24"/>
      <c r="M550" s="24"/>
      <c r="O550" s="24"/>
      <c r="P550" s="25" t="str">
        <f t="shared" si="8"/>
        <v/>
      </c>
    </row>
    <row r="551" spans="11:16" ht="15" customHeight="1" x14ac:dyDescent="0.2">
      <c r="K551" s="24"/>
      <c r="L551" s="24"/>
      <c r="M551" s="24"/>
      <c r="O551" s="24"/>
      <c r="P551" s="25" t="str">
        <f t="shared" si="8"/>
        <v/>
      </c>
    </row>
    <row r="552" spans="11:16" ht="15" customHeight="1" x14ac:dyDescent="0.2">
      <c r="K552" s="24"/>
      <c r="L552" s="24"/>
      <c r="M552" s="24"/>
      <c r="O552" s="24"/>
      <c r="P552" s="25" t="str">
        <f t="shared" si="8"/>
        <v/>
      </c>
    </row>
    <row r="553" spans="11:16" ht="15" customHeight="1" x14ac:dyDescent="0.2">
      <c r="K553" s="24"/>
      <c r="L553" s="24"/>
      <c r="M553" s="24"/>
      <c r="O553" s="24"/>
      <c r="P553" s="25" t="str">
        <f t="shared" si="8"/>
        <v/>
      </c>
    </row>
    <row r="554" spans="11:16" ht="15" customHeight="1" x14ac:dyDescent="0.2">
      <c r="K554" s="24"/>
      <c r="L554" s="24"/>
      <c r="M554" s="24"/>
      <c r="O554" s="24"/>
      <c r="P554" s="25" t="str">
        <f t="shared" si="8"/>
        <v/>
      </c>
    </row>
    <row r="555" spans="11:16" ht="15" customHeight="1" x14ac:dyDescent="0.2">
      <c r="K555" s="24"/>
      <c r="L555" s="24"/>
      <c r="M555" s="24"/>
      <c r="O555" s="24"/>
      <c r="P555" s="25" t="str">
        <f t="shared" si="8"/>
        <v/>
      </c>
    </row>
    <row r="556" spans="11:16" ht="15" customHeight="1" x14ac:dyDescent="0.2">
      <c r="K556" s="24"/>
      <c r="L556" s="24"/>
      <c r="M556" s="24"/>
      <c r="O556" s="24"/>
      <c r="P556" s="25" t="str">
        <f t="shared" si="8"/>
        <v/>
      </c>
    </row>
    <row r="557" spans="11:16" ht="15" customHeight="1" x14ac:dyDescent="0.2">
      <c r="K557" s="24"/>
      <c r="L557" s="24"/>
      <c r="M557" s="24"/>
      <c r="O557" s="24"/>
      <c r="P557" s="25" t="str">
        <f t="shared" si="8"/>
        <v/>
      </c>
    </row>
    <row r="558" spans="11:16" ht="15" customHeight="1" x14ac:dyDescent="0.2">
      <c r="K558" s="24"/>
      <c r="L558" s="24"/>
      <c r="M558" s="24"/>
      <c r="O558" s="24"/>
      <c r="P558" s="25" t="str">
        <f t="shared" si="8"/>
        <v/>
      </c>
    </row>
    <row r="559" spans="11:16" ht="15" customHeight="1" x14ac:dyDescent="0.2">
      <c r="K559" s="24"/>
      <c r="L559" s="24"/>
      <c r="M559" s="24"/>
      <c r="O559" s="24"/>
      <c r="P559" s="25" t="str">
        <f t="shared" si="8"/>
        <v/>
      </c>
    </row>
    <row r="560" spans="11:16" ht="15" customHeight="1" x14ac:dyDescent="0.2">
      <c r="K560" s="24"/>
      <c r="L560" s="24"/>
      <c r="M560" s="24"/>
      <c r="O560" s="24"/>
      <c r="P560" s="25" t="str">
        <f t="shared" si="8"/>
        <v/>
      </c>
    </row>
    <row r="561" spans="11:16" ht="15" customHeight="1" x14ac:dyDescent="0.2">
      <c r="K561" s="24"/>
      <c r="L561" s="24"/>
      <c r="M561" s="24"/>
      <c r="O561" s="24"/>
      <c r="P561" s="25" t="str">
        <f t="shared" si="8"/>
        <v/>
      </c>
    </row>
    <row r="562" spans="11:16" ht="15" customHeight="1" x14ac:dyDescent="0.2">
      <c r="K562" s="24"/>
      <c r="L562" s="24"/>
      <c r="M562" s="24"/>
      <c r="O562" s="24"/>
      <c r="P562" s="25" t="str">
        <f t="shared" si="8"/>
        <v/>
      </c>
    </row>
    <row r="563" spans="11:16" ht="15" customHeight="1" x14ac:dyDescent="0.2">
      <c r="K563" s="24"/>
      <c r="L563" s="24"/>
      <c r="M563" s="24"/>
      <c r="O563" s="24"/>
      <c r="P563" s="25" t="str">
        <f t="shared" si="8"/>
        <v/>
      </c>
    </row>
    <row r="564" spans="11:16" ht="15" customHeight="1" x14ac:dyDescent="0.2">
      <c r="K564" s="24"/>
      <c r="L564" s="24"/>
      <c r="M564" s="24"/>
      <c r="O564" s="24"/>
      <c r="P564" s="25" t="str">
        <f t="shared" si="8"/>
        <v/>
      </c>
    </row>
    <row r="565" spans="11:16" ht="15" customHeight="1" x14ac:dyDescent="0.2">
      <c r="K565" s="24"/>
      <c r="L565" s="24"/>
      <c r="M565" s="24"/>
      <c r="O565" s="24"/>
      <c r="P565" s="25" t="str">
        <f t="shared" si="8"/>
        <v/>
      </c>
    </row>
    <row r="566" spans="11:16" ht="15" customHeight="1" x14ac:dyDescent="0.2">
      <c r="K566" s="24"/>
      <c r="L566" s="24"/>
      <c r="M566" s="24"/>
      <c r="O566" s="24"/>
      <c r="P566" s="25" t="str">
        <f t="shared" si="8"/>
        <v/>
      </c>
    </row>
    <row r="567" spans="11:16" ht="15" customHeight="1" x14ac:dyDescent="0.2">
      <c r="K567" s="24"/>
      <c r="L567" s="24"/>
      <c r="M567" s="24"/>
      <c r="O567" s="24"/>
      <c r="P567" s="25" t="str">
        <f t="shared" si="8"/>
        <v/>
      </c>
    </row>
    <row r="568" spans="11:16" ht="15" customHeight="1" x14ac:dyDescent="0.2">
      <c r="K568" s="24"/>
      <c r="L568" s="24"/>
      <c r="M568" s="24"/>
      <c r="O568" s="24"/>
      <c r="P568" s="25" t="str">
        <f t="shared" si="8"/>
        <v/>
      </c>
    </row>
    <row r="569" spans="11:16" ht="15" customHeight="1" x14ac:dyDescent="0.2">
      <c r="K569" s="24"/>
      <c r="L569" s="24"/>
      <c r="M569" s="24"/>
      <c r="O569" s="24"/>
      <c r="P569" s="25" t="str">
        <f t="shared" si="8"/>
        <v/>
      </c>
    </row>
    <row r="570" spans="11:16" ht="15" customHeight="1" x14ac:dyDescent="0.2">
      <c r="K570" s="24"/>
      <c r="L570" s="24"/>
      <c r="M570" s="24"/>
      <c r="O570" s="24"/>
      <c r="P570" s="25" t="str">
        <f t="shared" si="8"/>
        <v/>
      </c>
    </row>
    <row r="571" spans="11:16" ht="15" customHeight="1" x14ac:dyDescent="0.2">
      <c r="K571" s="24"/>
      <c r="L571" s="24"/>
      <c r="M571" s="24"/>
      <c r="O571" s="24"/>
      <c r="P571" s="25" t="str">
        <f t="shared" si="8"/>
        <v/>
      </c>
    </row>
    <row r="572" spans="11:16" ht="15" customHeight="1" x14ac:dyDescent="0.2">
      <c r="K572" s="24"/>
      <c r="L572" s="24"/>
      <c r="M572" s="24"/>
      <c r="O572" s="24"/>
      <c r="P572" s="25" t="str">
        <f t="shared" si="8"/>
        <v/>
      </c>
    </row>
    <row r="573" spans="11:16" ht="15" customHeight="1" x14ac:dyDescent="0.2">
      <c r="K573" s="24"/>
      <c r="L573" s="24"/>
      <c r="M573" s="24"/>
      <c r="O573" s="24"/>
      <c r="P573" s="25" t="str">
        <f t="shared" si="8"/>
        <v/>
      </c>
    </row>
    <row r="574" spans="11:16" ht="15" customHeight="1" x14ac:dyDescent="0.2">
      <c r="K574" s="24"/>
      <c r="L574" s="24"/>
      <c r="M574" s="24"/>
      <c r="O574" s="24"/>
      <c r="P574" s="25" t="str">
        <f t="shared" si="8"/>
        <v/>
      </c>
    </row>
    <row r="575" spans="11:16" ht="15" customHeight="1" x14ac:dyDescent="0.2">
      <c r="K575" s="24"/>
      <c r="L575" s="24"/>
      <c r="M575" s="24"/>
      <c r="O575" s="24"/>
      <c r="P575" s="25" t="str">
        <f t="shared" si="8"/>
        <v/>
      </c>
    </row>
    <row r="576" spans="11:16" ht="15" customHeight="1" x14ac:dyDescent="0.2">
      <c r="K576" s="24"/>
      <c r="L576" s="24"/>
      <c r="M576" s="24"/>
      <c r="O576" s="24"/>
      <c r="P576" s="25" t="str">
        <f t="shared" si="8"/>
        <v/>
      </c>
    </row>
    <row r="577" spans="11:16" ht="15" customHeight="1" x14ac:dyDescent="0.2">
      <c r="K577" s="24"/>
      <c r="L577" s="24"/>
      <c r="M577" s="24"/>
      <c r="O577" s="24"/>
      <c r="P577" s="25" t="str">
        <f t="shared" si="8"/>
        <v/>
      </c>
    </row>
    <row r="578" spans="11:16" ht="15" customHeight="1" x14ac:dyDescent="0.2">
      <c r="K578" s="24"/>
      <c r="L578" s="24"/>
      <c r="M578" s="24"/>
      <c r="O578" s="24"/>
      <c r="P578" s="25" t="str">
        <f t="shared" si="8"/>
        <v/>
      </c>
    </row>
    <row r="579" spans="11:16" ht="15" customHeight="1" x14ac:dyDescent="0.2">
      <c r="K579" s="24"/>
      <c r="L579" s="24"/>
      <c r="M579" s="24"/>
      <c r="O579" s="24"/>
      <c r="P579" s="25" t="str">
        <f t="shared" si="8"/>
        <v/>
      </c>
    </row>
    <row r="580" spans="11:16" ht="15" customHeight="1" x14ac:dyDescent="0.2">
      <c r="K580" s="24"/>
      <c r="L580" s="24"/>
      <c r="M580" s="24"/>
      <c r="O580" s="24"/>
      <c r="P580" s="25" t="str">
        <f t="shared" si="8"/>
        <v/>
      </c>
    </row>
    <row r="581" spans="11:16" ht="15" customHeight="1" x14ac:dyDescent="0.2">
      <c r="K581" s="24"/>
      <c r="L581" s="24"/>
      <c r="M581" s="24"/>
      <c r="O581" s="24"/>
      <c r="P581" s="25" t="str">
        <f t="shared" ref="P581:P644" si="9">IF(A581="","",COUNTIF(E581:I581,"Yes"))</f>
        <v/>
      </c>
    </row>
    <row r="582" spans="11:16" ht="15" customHeight="1" x14ac:dyDescent="0.2">
      <c r="K582" s="24"/>
      <c r="L582" s="24"/>
      <c r="M582" s="24"/>
      <c r="O582" s="24"/>
      <c r="P582" s="25" t="str">
        <f t="shared" si="9"/>
        <v/>
      </c>
    </row>
    <row r="583" spans="11:16" ht="15" customHeight="1" x14ac:dyDescent="0.2">
      <c r="K583" s="24"/>
      <c r="L583" s="24"/>
      <c r="M583" s="24"/>
      <c r="O583" s="24"/>
      <c r="P583" s="25" t="str">
        <f t="shared" si="9"/>
        <v/>
      </c>
    </row>
    <row r="584" spans="11:16" ht="15" customHeight="1" x14ac:dyDescent="0.2">
      <c r="K584" s="24"/>
      <c r="L584" s="24"/>
      <c r="M584" s="24"/>
      <c r="O584" s="24"/>
      <c r="P584" s="25" t="str">
        <f t="shared" si="9"/>
        <v/>
      </c>
    </row>
    <row r="585" spans="11:16" ht="15" customHeight="1" x14ac:dyDescent="0.2">
      <c r="K585" s="24"/>
      <c r="L585" s="24"/>
      <c r="M585" s="24"/>
      <c r="O585" s="24"/>
      <c r="P585" s="25" t="str">
        <f t="shared" si="9"/>
        <v/>
      </c>
    </row>
    <row r="586" spans="11:16" ht="15" customHeight="1" x14ac:dyDescent="0.2">
      <c r="K586" s="24"/>
      <c r="L586" s="24"/>
      <c r="M586" s="24"/>
      <c r="O586" s="24"/>
      <c r="P586" s="25" t="str">
        <f t="shared" si="9"/>
        <v/>
      </c>
    </row>
    <row r="587" spans="11:16" ht="15" customHeight="1" x14ac:dyDescent="0.2">
      <c r="K587" s="24"/>
      <c r="L587" s="24"/>
      <c r="M587" s="24"/>
      <c r="O587" s="24"/>
      <c r="P587" s="25" t="str">
        <f t="shared" si="9"/>
        <v/>
      </c>
    </row>
    <row r="588" spans="11:16" ht="15" customHeight="1" x14ac:dyDescent="0.2">
      <c r="K588" s="24"/>
      <c r="L588" s="24"/>
      <c r="M588" s="24"/>
      <c r="O588" s="24"/>
      <c r="P588" s="25" t="str">
        <f t="shared" si="9"/>
        <v/>
      </c>
    </row>
    <row r="589" spans="11:16" ht="15" customHeight="1" x14ac:dyDescent="0.2">
      <c r="K589" s="24"/>
      <c r="L589" s="24"/>
      <c r="M589" s="24"/>
      <c r="O589" s="24"/>
      <c r="P589" s="25" t="str">
        <f t="shared" si="9"/>
        <v/>
      </c>
    </row>
    <row r="590" spans="11:16" ht="15" customHeight="1" x14ac:dyDescent="0.2">
      <c r="K590" s="24"/>
      <c r="L590" s="24"/>
      <c r="M590" s="24"/>
      <c r="O590" s="24"/>
      <c r="P590" s="25" t="str">
        <f t="shared" si="9"/>
        <v/>
      </c>
    </row>
    <row r="591" spans="11:16" ht="15" customHeight="1" x14ac:dyDescent="0.2">
      <c r="K591" s="24"/>
      <c r="L591" s="24"/>
      <c r="M591" s="24"/>
      <c r="O591" s="24"/>
      <c r="P591" s="25" t="str">
        <f t="shared" si="9"/>
        <v/>
      </c>
    </row>
    <row r="592" spans="11:16" ht="15" customHeight="1" x14ac:dyDescent="0.2">
      <c r="K592" s="24"/>
      <c r="L592" s="24"/>
      <c r="M592" s="24"/>
      <c r="O592" s="24"/>
      <c r="P592" s="25" t="str">
        <f t="shared" si="9"/>
        <v/>
      </c>
    </row>
    <row r="593" spans="11:16" ht="15" customHeight="1" x14ac:dyDescent="0.2">
      <c r="K593" s="24"/>
      <c r="L593" s="24"/>
      <c r="M593" s="24"/>
      <c r="O593" s="24"/>
      <c r="P593" s="25" t="str">
        <f t="shared" si="9"/>
        <v/>
      </c>
    </row>
    <row r="594" spans="11:16" ht="15" customHeight="1" x14ac:dyDescent="0.2">
      <c r="K594" s="24"/>
      <c r="L594" s="24"/>
      <c r="M594" s="24"/>
      <c r="O594" s="24"/>
      <c r="P594" s="25" t="str">
        <f t="shared" si="9"/>
        <v/>
      </c>
    </row>
    <row r="595" spans="11:16" ht="15" customHeight="1" x14ac:dyDescent="0.2">
      <c r="K595" s="24"/>
      <c r="L595" s="24"/>
      <c r="M595" s="24"/>
      <c r="O595" s="24"/>
      <c r="P595" s="25" t="str">
        <f t="shared" si="9"/>
        <v/>
      </c>
    </row>
    <row r="596" spans="11:16" ht="15" customHeight="1" x14ac:dyDescent="0.2">
      <c r="K596" s="24"/>
      <c r="L596" s="24"/>
      <c r="M596" s="24"/>
      <c r="O596" s="24"/>
      <c r="P596" s="25" t="str">
        <f t="shared" si="9"/>
        <v/>
      </c>
    </row>
    <row r="597" spans="11:16" ht="15" customHeight="1" x14ac:dyDescent="0.2">
      <c r="K597" s="24"/>
      <c r="L597" s="24"/>
      <c r="M597" s="24"/>
      <c r="O597" s="24"/>
      <c r="P597" s="25" t="str">
        <f t="shared" si="9"/>
        <v/>
      </c>
    </row>
    <row r="598" spans="11:16" ht="15" customHeight="1" x14ac:dyDescent="0.2">
      <c r="K598" s="24"/>
      <c r="L598" s="24"/>
      <c r="M598" s="24"/>
      <c r="O598" s="24"/>
      <c r="P598" s="25" t="str">
        <f t="shared" si="9"/>
        <v/>
      </c>
    </row>
    <row r="599" spans="11:16" ht="15" customHeight="1" x14ac:dyDescent="0.2">
      <c r="K599" s="24"/>
      <c r="L599" s="24"/>
      <c r="M599" s="24"/>
      <c r="O599" s="24"/>
      <c r="P599" s="25" t="str">
        <f t="shared" si="9"/>
        <v/>
      </c>
    </row>
    <row r="600" spans="11:16" ht="15" customHeight="1" x14ac:dyDescent="0.2">
      <c r="K600" s="24"/>
      <c r="L600" s="24"/>
      <c r="M600" s="24"/>
      <c r="O600" s="24"/>
      <c r="P600" s="25" t="str">
        <f t="shared" si="9"/>
        <v/>
      </c>
    </row>
    <row r="601" spans="11:16" ht="15" customHeight="1" x14ac:dyDescent="0.2">
      <c r="K601" s="24"/>
      <c r="L601" s="24"/>
      <c r="M601" s="24"/>
      <c r="O601" s="24"/>
      <c r="P601" s="25" t="str">
        <f t="shared" si="9"/>
        <v/>
      </c>
    </row>
    <row r="602" spans="11:16" ht="15" customHeight="1" x14ac:dyDescent="0.2">
      <c r="K602" s="24"/>
      <c r="L602" s="24"/>
      <c r="M602" s="24"/>
      <c r="O602" s="24"/>
      <c r="P602" s="25" t="str">
        <f t="shared" si="9"/>
        <v/>
      </c>
    </row>
    <row r="603" spans="11:16" ht="15" customHeight="1" x14ac:dyDescent="0.2">
      <c r="K603" s="24"/>
      <c r="L603" s="24"/>
      <c r="M603" s="24"/>
      <c r="O603" s="24"/>
      <c r="P603" s="25" t="str">
        <f t="shared" si="9"/>
        <v/>
      </c>
    </row>
    <row r="604" spans="11:16" ht="15" customHeight="1" x14ac:dyDescent="0.2">
      <c r="K604" s="24"/>
      <c r="L604" s="24"/>
      <c r="M604" s="24"/>
      <c r="O604" s="24"/>
      <c r="P604" s="25" t="str">
        <f t="shared" si="9"/>
        <v/>
      </c>
    </row>
    <row r="605" spans="11:16" ht="15" customHeight="1" x14ac:dyDescent="0.2">
      <c r="K605" s="24"/>
      <c r="L605" s="24"/>
      <c r="M605" s="24"/>
      <c r="O605" s="24"/>
      <c r="P605" s="25" t="str">
        <f t="shared" si="9"/>
        <v/>
      </c>
    </row>
    <row r="606" spans="11:16" ht="15" customHeight="1" x14ac:dyDescent="0.2">
      <c r="K606" s="24"/>
      <c r="L606" s="24"/>
      <c r="M606" s="24"/>
      <c r="O606" s="24"/>
      <c r="P606" s="25" t="str">
        <f t="shared" si="9"/>
        <v/>
      </c>
    </row>
    <row r="607" spans="11:16" ht="15" customHeight="1" x14ac:dyDescent="0.2">
      <c r="K607" s="24"/>
      <c r="L607" s="24"/>
      <c r="M607" s="24"/>
      <c r="O607" s="24"/>
      <c r="P607" s="25" t="str">
        <f t="shared" si="9"/>
        <v/>
      </c>
    </row>
    <row r="608" spans="11:16" ht="15" customHeight="1" x14ac:dyDescent="0.2">
      <c r="K608" s="24"/>
      <c r="L608" s="24"/>
      <c r="M608" s="24"/>
      <c r="O608" s="24"/>
      <c r="P608" s="25" t="str">
        <f t="shared" si="9"/>
        <v/>
      </c>
    </row>
    <row r="609" spans="11:16" ht="15" customHeight="1" x14ac:dyDescent="0.2">
      <c r="K609" s="24"/>
      <c r="L609" s="24"/>
      <c r="M609" s="24"/>
      <c r="O609" s="24"/>
      <c r="P609" s="25" t="str">
        <f t="shared" si="9"/>
        <v/>
      </c>
    </row>
    <row r="610" spans="11:16" ht="15" customHeight="1" x14ac:dyDescent="0.2">
      <c r="K610" s="24"/>
      <c r="L610" s="24"/>
      <c r="M610" s="24"/>
      <c r="O610" s="24"/>
      <c r="P610" s="25" t="str">
        <f t="shared" si="9"/>
        <v/>
      </c>
    </row>
    <row r="611" spans="11:16" ht="15" customHeight="1" x14ac:dyDescent="0.2">
      <c r="K611" s="24"/>
      <c r="L611" s="24"/>
      <c r="M611" s="24"/>
      <c r="O611" s="24"/>
      <c r="P611" s="25" t="str">
        <f t="shared" si="9"/>
        <v/>
      </c>
    </row>
    <row r="612" spans="11:16" ht="15" customHeight="1" x14ac:dyDescent="0.2">
      <c r="K612" s="24"/>
      <c r="L612" s="24"/>
      <c r="M612" s="24"/>
      <c r="O612" s="24"/>
      <c r="P612" s="25" t="str">
        <f t="shared" si="9"/>
        <v/>
      </c>
    </row>
    <row r="613" spans="11:16" ht="15" customHeight="1" x14ac:dyDescent="0.2">
      <c r="K613" s="24"/>
      <c r="L613" s="24"/>
      <c r="M613" s="24"/>
      <c r="O613" s="24"/>
      <c r="P613" s="25" t="str">
        <f t="shared" si="9"/>
        <v/>
      </c>
    </row>
    <row r="614" spans="11:16" ht="15" customHeight="1" x14ac:dyDescent="0.2">
      <c r="K614" s="24"/>
      <c r="L614" s="24"/>
      <c r="M614" s="24"/>
      <c r="O614" s="24"/>
      <c r="P614" s="25" t="str">
        <f t="shared" si="9"/>
        <v/>
      </c>
    </row>
    <row r="615" spans="11:16" ht="15" customHeight="1" x14ac:dyDescent="0.2">
      <c r="K615" s="24"/>
      <c r="L615" s="24"/>
      <c r="M615" s="24"/>
      <c r="O615" s="24"/>
      <c r="P615" s="25" t="str">
        <f t="shared" si="9"/>
        <v/>
      </c>
    </row>
    <row r="616" spans="11:16" ht="15" customHeight="1" x14ac:dyDescent="0.2">
      <c r="K616" s="24"/>
      <c r="L616" s="24"/>
      <c r="M616" s="24"/>
      <c r="O616" s="24"/>
      <c r="P616" s="25" t="str">
        <f t="shared" si="9"/>
        <v/>
      </c>
    </row>
    <row r="617" spans="11:16" ht="15" customHeight="1" x14ac:dyDescent="0.2">
      <c r="K617" s="24"/>
      <c r="L617" s="24"/>
      <c r="M617" s="24"/>
      <c r="O617" s="24"/>
      <c r="P617" s="25" t="str">
        <f t="shared" si="9"/>
        <v/>
      </c>
    </row>
    <row r="618" spans="11:16" ht="15" customHeight="1" x14ac:dyDescent="0.2">
      <c r="K618" s="24"/>
      <c r="L618" s="24"/>
      <c r="M618" s="24"/>
      <c r="O618" s="24"/>
      <c r="P618" s="25" t="str">
        <f t="shared" si="9"/>
        <v/>
      </c>
    </row>
    <row r="619" spans="11:16" ht="15" customHeight="1" x14ac:dyDescent="0.2">
      <c r="K619" s="24"/>
      <c r="L619" s="24"/>
      <c r="M619" s="24"/>
      <c r="O619" s="24"/>
      <c r="P619" s="25" t="str">
        <f t="shared" si="9"/>
        <v/>
      </c>
    </row>
    <row r="620" spans="11:16" ht="15" customHeight="1" x14ac:dyDescent="0.2">
      <c r="K620" s="24"/>
      <c r="L620" s="24"/>
      <c r="M620" s="24"/>
      <c r="O620" s="24"/>
      <c r="P620" s="25" t="str">
        <f t="shared" si="9"/>
        <v/>
      </c>
    </row>
    <row r="621" spans="11:16" ht="15" customHeight="1" x14ac:dyDescent="0.2">
      <c r="K621" s="24"/>
      <c r="L621" s="24"/>
      <c r="M621" s="24"/>
      <c r="O621" s="24"/>
      <c r="P621" s="25" t="str">
        <f t="shared" si="9"/>
        <v/>
      </c>
    </row>
    <row r="622" spans="11:16" ht="15" customHeight="1" x14ac:dyDescent="0.2">
      <c r="K622" s="24"/>
      <c r="L622" s="24"/>
      <c r="M622" s="24"/>
      <c r="O622" s="24"/>
      <c r="P622" s="25" t="str">
        <f t="shared" si="9"/>
        <v/>
      </c>
    </row>
    <row r="623" spans="11:16" ht="15" customHeight="1" x14ac:dyDescent="0.2">
      <c r="K623" s="24"/>
      <c r="L623" s="24"/>
      <c r="M623" s="24"/>
      <c r="O623" s="24"/>
      <c r="P623" s="25" t="str">
        <f t="shared" si="9"/>
        <v/>
      </c>
    </row>
    <row r="624" spans="11:16" ht="15" customHeight="1" x14ac:dyDescent="0.2">
      <c r="K624" s="24"/>
      <c r="L624" s="24"/>
      <c r="M624" s="24"/>
      <c r="O624" s="24"/>
      <c r="P624" s="25" t="str">
        <f t="shared" si="9"/>
        <v/>
      </c>
    </row>
    <row r="625" spans="11:16" ht="15" customHeight="1" x14ac:dyDescent="0.2">
      <c r="K625" s="24"/>
      <c r="L625" s="24"/>
      <c r="M625" s="24"/>
      <c r="O625" s="24"/>
      <c r="P625" s="25" t="str">
        <f t="shared" si="9"/>
        <v/>
      </c>
    </row>
    <row r="626" spans="11:16" ht="15" customHeight="1" x14ac:dyDescent="0.2">
      <c r="K626" s="24"/>
      <c r="L626" s="24"/>
      <c r="M626" s="24"/>
      <c r="O626" s="24"/>
      <c r="P626" s="25" t="str">
        <f t="shared" si="9"/>
        <v/>
      </c>
    </row>
    <row r="627" spans="11:16" ht="15" customHeight="1" x14ac:dyDescent="0.2">
      <c r="K627" s="24"/>
      <c r="L627" s="24"/>
      <c r="M627" s="24"/>
      <c r="O627" s="24"/>
      <c r="P627" s="25" t="str">
        <f t="shared" si="9"/>
        <v/>
      </c>
    </row>
    <row r="628" spans="11:16" ht="15" customHeight="1" x14ac:dyDescent="0.2">
      <c r="K628" s="24"/>
      <c r="L628" s="24"/>
      <c r="M628" s="24"/>
      <c r="O628" s="24"/>
      <c r="P628" s="25" t="str">
        <f t="shared" si="9"/>
        <v/>
      </c>
    </row>
    <row r="629" spans="11:16" ht="15" customHeight="1" x14ac:dyDescent="0.2">
      <c r="K629" s="24"/>
      <c r="L629" s="24"/>
      <c r="M629" s="24"/>
      <c r="O629" s="24"/>
      <c r="P629" s="25" t="str">
        <f t="shared" si="9"/>
        <v/>
      </c>
    </row>
    <row r="630" spans="11:16" ht="15" customHeight="1" x14ac:dyDescent="0.2">
      <c r="K630" s="24"/>
      <c r="L630" s="24"/>
      <c r="M630" s="24"/>
      <c r="O630" s="24"/>
      <c r="P630" s="25" t="str">
        <f t="shared" si="9"/>
        <v/>
      </c>
    </row>
    <row r="631" spans="11:16" ht="15" customHeight="1" x14ac:dyDescent="0.2">
      <c r="K631" s="24"/>
      <c r="L631" s="24"/>
      <c r="M631" s="24"/>
      <c r="O631" s="24"/>
      <c r="P631" s="25" t="str">
        <f t="shared" si="9"/>
        <v/>
      </c>
    </row>
    <row r="632" spans="11:16" ht="15" customHeight="1" x14ac:dyDescent="0.2">
      <c r="K632" s="24"/>
      <c r="L632" s="24"/>
      <c r="M632" s="24"/>
      <c r="O632" s="24"/>
      <c r="P632" s="25" t="str">
        <f t="shared" si="9"/>
        <v/>
      </c>
    </row>
    <row r="633" spans="11:16" ht="15" customHeight="1" x14ac:dyDescent="0.2">
      <c r="K633" s="24"/>
      <c r="L633" s="24"/>
      <c r="M633" s="24"/>
      <c r="O633" s="24"/>
      <c r="P633" s="25" t="str">
        <f t="shared" si="9"/>
        <v/>
      </c>
    </row>
    <row r="634" spans="11:16" ht="15" customHeight="1" x14ac:dyDescent="0.2">
      <c r="K634" s="24"/>
      <c r="L634" s="24"/>
      <c r="M634" s="24"/>
      <c r="O634" s="24"/>
      <c r="P634" s="25" t="str">
        <f t="shared" si="9"/>
        <v/>
      </c>
    </row>
    <row r="635" spans="11:16" ht="15" customHeight="1" x14ac:dyDescent="0.2">
      <c r="K635" s="24"/>
      <c r="L635" s="24"/>
      <c r="M635" s="24"/>
      <c r="O635" s="24"/>
      <c r="P635" s="25" t="str">
        <f t="shared" si="9"/>
        <v/>
      </c>
    </row>
    <row r="636" spans="11:16" ht="15" customHeight="1" x14ac:dyDescent="0.2">
      <c r="K636" s="24"/>
      <c r="L636" s="24"/>
      <c r="M636" s="24"/>
      <c r="O636" s="24"/>
      <c r="P636" s="25" t="str">
        <f t="shared" si="9"/>
        <v/>
      </c>
    </row>
    <row r="637" spans="11:16" ht="15" customHeight="1" x14ac:dyDescent="0.2">
      <c r="K637" s="24"/>
      <c r="L637" s="24"/>
      <c r="M637" s="24"/>
      <c r="O637" s="24"/>
      <c r="P637" s="25" t="str">
        <f t="shared" si="9"/>
        <v/>
      </c>
    </row>
    <row r="638" spans="11:16" ht="15" customHeight="1" x14ac:dyDescent="0.2">
      <c r="K638" s="24"/>
      <c r="L638" s="24"/>
      <c r="M638" s="24"/>
      <c r="O638" s="24"/>
      <c r="P638" s="25" t="str">
        <f t="shared" si="9"/>
        <v/>
      </c>
    </row>
    <row r="639" spans="11:16" ht="15" customHeight="1" x14ac:dyDescent="0.2">
      <c r="K639" s="24"/>
      <c r="L639" s="24"/>
      <c r="M639" s="24"/>
      <c r="O639" s="24"/>
      <c r="P639" s="25" t="str">
        <f t="shared" si="9"/>
        <v/>
      </c>
    </row>
    <row r="640" spans="11:16" ht="15" customHeight="1" x14ac:dyDescent="0.2">
      <c r="K640" s="24"/>
      <c r="L640" s="24"/>
      <c r="M640" s="24"/>
      <c r="O640" s="24"/>
      <c r="P640" s="25" t="str">
        <f t="shared" si="9"/>
        <v/>
      </c>
    </row>
    <row r="641" spans="11:16" ht="15" customHeight="1" x14ac:dyDescent="0.2">
      <c r="K641" s="24"/>
      <c r="L641" s="24"/>
      <c r="M641" s="24"/>
      <c r="O641" s="24"/>
      <c r="P641" s="25" t="str">
        <f t="shared" si="9"/>
        <v/>
      </c>
    </row>
    <row r="642" spans="11:16" ht="15" customHeight="1" x14ac:dyDescent="0.2">
      <c r="K642" s="24"/>
      <c r="L642" s="24"/>
      <c r="M642" s="24"/>
      <c r="O642" s="24"/>
      <c r="P642" s="25" t="str">
        <f t="shared" si="9"/>
        <v/>
      </c>
    </row>
    <row r="643" spans="11:16" ht="15" customHeight="1" x14ac:dyDescent="0.2">
      <c r="K643" s="24"/>
      <c r="L643" s="24"/>
      <c r="M643" s="24"/>
      <c r="O643" s="24"/>
      <c r="P643" s="25" t="str">
        <f t="shared" si="9"/>
        <v/>
      </c>
    </row>
    <row r="644" spans="11:16" ht="15" customHeight="1" x14ac:dyDescent="0.2">
      <c r="K644" s="24"/>
      <c r="L644" s="24"/>
      <c r="M644" s="24"/>
      <c r="O644" s="24"/>
      <c r="P644" s="25" t="str">
        <f t="shared" si="9"/>
        <v/>
      </c>
    </row>
    <row r="645" spans="11:16" ht="15" customHeight="1" x14ac:dyDescent="0.2">
      <c r="K645" s="24"/>
      <c r="L645" s="24"/>
      <c r="M645" s="24"/>
      <c r="O645" s="24"/>
      <c r="P645" s="25" t="str">
        <f t="shared" ref="P645:P708" si="10">IF(A645="","",COUNTIF(E645:I645,"Yes"))</f>
        <v/>
      </c>
    </row>
    <row r="646" spans="11:16" ht="15" customHeight="1" x14ac:dyDescent="0.2">
      <c r="K646" s="24"/>
      <c r="L646" s="24"/>
      <c r="M646" s="24"/>
      <c r="O646" s="24"/>
      <c r="P646" s="25" t="str">
        <f t="shared" si="10"/>
        <v/>
      </c>
    </row>
    <row r="647" spans="11:16" ht="15" customHeight="1" x14ac:dyDescent="0.2">
      <c r="K647" s="24"/>
      <c r="L647" s="24"/>
      <c r="M647" s="24"/>
      <c r="O647" s="24"/>
      <c r="P647" s="25" t="str">
        <f t="shared" si="10"/>
        <v/>
      </c>
    </row>
    <row r="648" spans="11:16" ht="15" customHeight="1" x14ac:dyDescent="0.2">
      <c r="K648" s="24"/>
      <c r="L648" s="24"/>
      <c r="M648" s="24"/>
      <c r="O648" s="24"/>
      <c r="P648" s="25" t="str">
        <f t="shared" si="10"/>
        <v/>
      </c>
    </row>
    <row r="649" spans="11:16" ht="15" customHeight="1" x14ac:dyDescent="0.2">
      <c r="K649" s="24"/>
      <c r="L649" s="24"/>
      <c r="M649" s="24"/>
      <c r="O649" s="24"/>
      <c r="P649" s="25" t="str">
        <f t="shared" si="10"/>
        <v/>
      </c>
    </row>
    <row r="650" spans="11:16" ht="15" customHeight="1" x14ac:dyDescent="0.2">
      <c r="K650" s="24"/>
      <c r="L650" s="24"/>
      <c r="M650" s="24"/>
      <c r="O650" s="24"/>
      <c r="P650" s="25" t="str">
        <f t="shared" si="10"/>
        <v/>
      </c>
    </row>
    <row r="651" spans="11:16" ht="15" customHeight="1" x14ac:dyDescent="0.2">
      <c r="K651" s="24"/>
      <c r="L651" s="24"/>
      <c r="M651" s="24"/>
      <c r="O651" s="24"/>
      <c r="P651" s="25" t="str">
        <f t="shared" si="10"/>
        <v/>
      </c>
    </row>
    <row r="652" spans="11:16" ht="15" customHeight="1" x14ac:dyDescent="0.2">
      <c r="K652" s="24"/>
      <c r="L652" s="24"/>
      <c r="M652" s="24"/>
      <c r="O652" s="24"/>
      <c r="P652" s="25" t="str">
        <f t="shared" si="10"/>
        <v/>
      </c>
    </row>
    <row r="653" spans="11:16" ht="15" customHeight="1" x14ac:dyDescent="0.2">
      <c r="K653" s="24"/>
      <c r="L653" s="24"/>
      <c r="M653" s="24"/>
      <c r="O653" s="24"/>
      <c r="P653" s="25" t="str">
        <f t="shared" si="10"/>
        <v/>
      </c>
    </row>
    <row r="654" spans="11:16" ht="15" customHeight="1" x14ac:dyDescent="0.2">
      <c r="K654" s="24"/>
      <c r="L654" s="24"/>
      <c r="M654" s="24"/>
      <c r="O654" s="24"/>
      <c r="P654" s="25" t="str">
        <f t="shared" si="10"/>
        <v/>
      </c>
    </row>
    <row r="655" spans="11:16" ht="15" customHeight="1" x14ac:dyDescent="0.2">
      <c r="K655" s="24"/>
      <c r="L655" s="24"/>
      <c r="M655" s="24"/>
      <c r="O655" s="24"/>
      <c r="P655" s="25" t="str">
        <f t="shared" si="10"/>
        <v/>
      </c>
    </row>
    <row r="656" spans="11:16" ht="15" customHeight="1" x14ac:dyDescent="0.2">
      <c r="K656" s="24"/>
      <c r="L656" s="24"/>
      <c r="M656" s="24"/>
      <c r="O656" s="24"/>
      <c r="P656" s="25" t="str">
        <f t="shared" si="10"/>
        <v/>
      </c>
    </row>
    <row r="657" spans="11:16" ht="15" customHeight="1" x14ac:dyDescent="0.2">
      <c r="K657" s="24"/>
      <c r="L657" s="24"/>
      <c r="M657" s="24"/>
      <c r="O657" s="24"/>
      <c r="P657" s="25" t="str">
        <f t="shared" si="10"/>
        <v/>
      </c>
    </row>
    <row r="658" spans="11:16" ht="15" customHeight="1" x14ac:dyDescent="0.2">
      <c r="K658" s="24"/>
      <c r="L658" s="24"/>
      <c r="M658" s="24"/>
      <c r="O658" s="24"/>
      <c r="P658" s="25" t="str">
        <f t="shared" si="10"/>
        <v/>
      </c>
    </row>
    <row r="659" spans="11:16" ht="15" customHeight="1" x14ac:dyDescent="0.2">
      <c r="K659" s="24"/>
      <c r="L659" s="24"/>
      <c r="M659" s="24"/>
      <c r="O659" s="24"/>
      <c r="P659" s="25" t="str">
        <f t="shared" si="10"/>
        <v/>
      </c>
    </row>
    <row r="660" spans="11:16" ht="15" customHeight="1" x14ac:dyDescent="0.2">
      <c r="K660" s="24"/>
      <c r="L660" s="24"/>
      <c r="M660" s="24"/>
      <c r="O660" s="24"/>
      <c r="P660" s="25" t="str">
        <f t="shared" si="10"/>
        <v/>
      </c>
    </row>
    <row r="661" spans="11:16" ht="15" customHeight="1" x14ac:dyDescent="0.2">
      <c r="K661" s="24"/>
      <c r="L661" s="24"/>
      <c r="M661" s="24"/>
      <c r="O661" s="24"/>
      <c r="P661" s="25" t="str">
        <f t="shared" si="10"/>
        <v/>
      </c>
    </row>
    <row r="662" spans="11:16" ht="15" customHeight="1" x14ac:dyDescent="0.2">
      <c r="K662" s="24"/>
      <c r="L662" s="24"/>
      <c r="M662" s="24"/>
      <c r="O662" s="24"/>
      <c r="P662" s="25" t="str">
        <f t="shared" si="10"/>
        <v/>
      </c>
    </row>
    <row r="663" spans="11:16" ht="15" customHeight="1" x14ac:dyDescent="0.2">
      <c r="K663" s="24"/>
      <c r="L663" s="24"/>
      <c r="M663" s="24"/>
      <c r="O663" s="24"/>
      <c r="P663" s="25" t="str">
        <f t="shared" si="10"/>
        <v/>
      </c>
    </row>
    <row r="664" spans="11:16" ht="15" customHeight="1" x14ac:dyDescent="0.2">
      <c r="K664" s="24"/>
      <c r="L664" s="24"/>
      <c r="M664" s="24"/>
      <c r="O664" s="24"/>
      <c r="P664" s="25" t="str">
        <f t="shared" si="10"/>
        <v/>
      </c>
    </row>
    <row r="665" spans="11:16" ht="15" customHeight="1" x14ac:dyDescent="0.2">
      <c r="K665" s="24"/>
      <c r="L665" s="24"/>
      <c r="M665" s="24"/>
      <c r="O665" s="24"/>
      <c r="P665" s="25" t="str">
        <f t="shared" si="10"/>
        <v/>
      </c>
    </row>
    <row r="666" spans="11:16" ht="15" customHeight="1" x14ac:dyDescent="0.2">
      <c r="K666" s="24"/>
      <c r="L666" s="24"/>
      <c r="M666" s="24"/>
      <c r="O666" s="24"/>
      <c r="P666" s="25" t="str">
        <f t="shared" si="10"/>
        <v/>
      </c>
    </row>
    <row r="667" spans="11:16" ht="15" customHeight="1" x14ac:dyDescent="0.2">
      <c r="K667" s="24"/>
      <c r="L667" s="24"/>
      <c r="M667" s="24"/>
      <c r="O667" s="24"/>
      <c r="P667" s="25" t="str">
        <f t="shared" si="10"/>
        <v/>
      </c>
    </row>
    <row r="668" spans="11:16" ht="15" customHeight="1" x14ac:dyDescent="0.2">
      <c r="K668" s="24"/>
      <c r="L668" s="24"/>
      <c r="M668" s="24"/>
      <c r="O668" s="24"/>
      <c r="P668" s="25" t="str">
        <f t="shared" si="10"/>
        <v/>
      </c>
    </row>
    <row r="669" spans="11:16" ht="15" customHeight="1" x14ac:dyDescent="0.2">
      <c r="K669" s="24"/>
      <c r="L669" s="24"/>
      <c r="M669" s="24"/>
      <c r="O669" s="24"/>
      <c r="P669" s="25" t="str">
        <f t="shared" si="10"/>
        <v/>
      </c>
    </row>
    <row r="670" spans="11:16" ht="15" customHeight="1" x14ac:dyDescent="0.2">
      <c r="K670" s="24"/>
      <c r="L670" s="24"/>
      <c r="M670" s="24"/>
      <c r="O670" s="24"/>
      <c r="P670" s="25" t="str">
        <f t="shared" si="10"/>
        <v/>
      </c>
    </row>
    <row r="671" spans="11:16" ht="15" customHeight="1" x14ac:dyDescent="0.2">
      <c r="K671" s="24"/>
      <c r="L671" s="24"/>
      <c r="M671" s="24"/>
      <c r="O671" s="24"/>
      <c r="P671" s="25" t="str">
        <f t="shared" si="10"/>
        <v/>
      </c>
    </row>
    <row r="672" spans="11:16" ht="15" customHeight="1" x14ac:dyDescent="0.2">
      <c r="K672" s="24"/>
      <c r="L672" s="24"/>
      <c r="M672" s="24"/>
      <c r="O672" s="24"/>
      <c r="P672" s="25" t="str">
        <f t="shared" si="10"/>
        <v/>
      </c>
    </row>
    <row r="673" spans="11:16" ht="15" customHeight="1" x14ac:dyDescent="0.2">
      <c r="K673" s="24"/>
      <c r="L673" s="24"/>
      <c r="M673" s="24"/>
      <c r="O673" s="24"/>
      <c r="P673" s="25" t="str">
        <f t="shared" si="10"/>
        <v/>
      </c>
    </row>
    <row r="674" spans="11:16" ht="15" customHeight="1" x14ac:dyDescent="0.2">
      <c r="K674" s="24"/>
      <c r="L674" s="24"/>
      <c r="M674" s="24"/>
      <c r="O674" s="24"/>
      <c r="P674" s="25" t="str">
        <f t="shared" si="10"/>
        <v/>
      </c>
    </row>
    <row r="675" spans="11:16" ht="15" customHeight="1" x14ac:dyDescent="0.2">
      <c r="K675" s="24"/>
      <c r="L675" s="24"/>
      <c r="M675" s="24"/>
      <c r="O675" s="24"/>
      <c r="P675" s="25" t="str">
        <f t="shared" si="10"/>
        <v/>
      </c>
    </row>
    <row r="676" spans="11:16" ht="15" customHeight="1" x14ac:dyDescent="0.2">
      <c r="K676" s="24"/>
      <c r="L676" s="24"/>
      <c r="M676" s="24"/>
      <c r="O676" s="24"/>
      <c r="P676" s="25" t="str">
        <f t="shared" si="10"/>
        <v/>
      </c>
    </row>
    <row r="677" spans="11:16" ht="15" customHeight="1" x14ac:dyDescent="0.2">
      <c r="K677" s="24"/>
      <c r="L677" s="24"/>
      <c r="M677" s="24"/>
      <c r="O677" s="24"/>
      <c r="P677" s="25" t="str">
        <f t="shared" si="10"/>
        <v/>
      </c>
    </row>
    <row r="678" spans="11:16" ht="15" customHeight="1" x14ac:dyDescent="0.2">
      <c r="K678" s="24"/>
      <c r="L678" s="24"/>
      <c r="M678" s="24"/>
      <c r="O678" s="24"/>
      <c r="P678" s="25" t="str">
        <f t="shared" si="10"/>
        <v/>
      </c>
    </row>
    <row r="679" spans="11:16" ht="15" customHeight="1" x14ac:dyDescent="0.2">
      <c r="K679" s="24"/>
      <c r="L679" s="24"/>
      <c r="M679" s="24"/>
      <c r="O679" s="24"/>
      <c r="P679" s="25" t="str">
        <f t="shared" si="10"/>
        <v/>
      </c>
    </row>
    <row r="680" spans="11:16" ht="15" customHeight="1" x14ac:dyDescent="0.2">
      <c r="K680" s="24"/>
      <c r="L680" s="24"/>
      <c r="M680" s="24"/>
      <c r="O680" s="24"/>
      <c r="P680" s="25" t="str">
        <f t="shared" si="10"/>
        <v/>
      </c>
    </row>
    <row r="681" spans="11:16" ht="15" customHeight="1" x14ac:dyDescent="0.2">
      <c r="K681" s="24"/>
      <c r="L681" s="24"/>
      <c r="M681" s="24"/>
      <c r="O681" s="24"/>
      <c r="P681" s="25" t="str">
        <f t="shared" si="10"/>
        <v/>
      </c>
    </row>
    <row r="682" spans="11:16" ht="15" customHeight="1" x14ac:dyDescent="0.2">
      <c r="K682" s="24"/>
      <c r="L682" s="24"/>
      <c r="M682" s="24"/>
      <c r="O682" s="24"/>
      <c r="P682" s="25" t="str">
        <f t="shared" si="10"/>
        <v/>
      </c>
    </row>
    <row r="683" spans="11:16" ht="15" customHeight="1" x14ac:dyDescent="0.2">
      <c r="K683" s="24"/>
      <c r="L683" s="24"/>
      <c r="M683" s="24"/>
      <c r="O683" s="24"/>
      <c r="P683" s="25" t="str">
        <f t="shared" si="10"/>
        <v/>
      </c>
    </row>
    <row r="684" spans="11:16" ht="15" customHeight="1" x14ac:dyDescent="0.2">
      <c r="K684" s="24"/>
      <c r="L684" s="24"/>
      <c r="M684" s="24"/>
      <c r="O684" s="24"/>
      <c r="P684" s="25" t="str">
        <f t="shared" si="10"/>
        <v/>
      </c>
    </row>
    <row r="685" spans="11:16" ht="15" customHeight="1" x14ac:dyDescent="0.2">
      <c r="K685" s="24"/>
      <c r="L685" s="24"/>
      <c r="M685" s="24"/>
      <c r="O685" s="24"/>
      <c r="P685" s="25" t="str">
        <f t="shared" si="10"/>
        <v/>
      </c>
    </row>
    <row r="686" spans="11:16" ht="15" customHeight="1" x14ac:dyDescent="0.2">
      <c r="K686" s="24"/>
      <c r="L686" s="24"/>
      <c r="M686" s="24"/>
      <c r="O686" s="24"/>
      <c r="P686" s="25" t="str">
        <f t="shared" si="10"/>
        <v/>
      </c>
    </row>
    <row r="687" spans="11:16" ht="15" customHeight="1" x14ac:dyDescent="0.2">
      <c r="K687" s="24"/>
      <c r="L687" s="24"/>
      <c r="M687" s="24"/>
      <c r="O687" s="24"/>
      <c r="P687" s="25" t="str">
        <f t="shared" si="10"/>
        <v/>
      </c>
    </row>
    <row r="688" spans="11:16" ht="15" customHeight="1" x14ac:dyDescent="0.2">
      <c r="K688" s="24"/>
      <c r="L688" s="24"/>
      <c r="M688" s="24"/>
      <c r="O688" s="24"/>
      <c r="P688" s="25" t="str">
        <f t="shared" si="10"/>
        <v/>
      </c>
    </row>
    <row r="689" spans="11:16" ht="15" customHeight="1" x14ac:dyDescent="0.2">
      <c r="K689" s="24"/>
      <c r="L689" s="24"/>
      <c r="M689" s="24"/>
      <c r="O689" s="24"/>
      <c r="P689" s="25" t="str">
        <f t="shared" si="10"/>
        <v/>
      </c>
    </row>
    <row r="690" spans="11:16" ht="15" customHeight="1" x14ac:dyDescent="0.2">
      <c r="K690" s="24"/>
      <c r="L690" s="24"/>
      <c r="M690" s="24"/>
      <c r="O690" s="24"/>
      <c r="P690" s="25" t="str">
        <f t="shared" si="10"/>
        <v/>
      </c>
    </row>
    <row r="691" spans="11:16" ht="15" customHeight="1" x14ac:dyDescent="0.2">
      <c r="K691" s="24"/>
      <c r="L691" s="24"/>
      <c r="M691" s="24"/>
      <c r="O691" s="24"/>
      <c r="P691" s="25" t="str">
        <f t="shared" si="10"/>
        <v/>
      </c>
    </row>
    <row r="692" spans="11:16" ht="15" customHeight="1" x14ac:dyDescent="0.2">
      <c r="K692" s="24"/>
      <c r="L692" s="24"/>
      <c r="M692" s="24"/>
      <c r="O692" s="24"/>
      <c r="P692" s="25" t="str">
        <f t="shared" si="10"/>
        <v/>
      </c>
    </row>
    <row r="693" spans="11:16" ht="15" customHeight="1" x14ac:dyDescent="0.2">
      <c r="K693" s="24"/>
      <c r="L693" s="24"/>
      <c r="M693" s="24"/>
      <c r="O693" s="24"/>
      <c r="P693" s="25" t="str">
        <f t="shared" si="10"/>
        <v/>
      </c>
    </row>
    <row r="694" spans="11:16" ht="15" customHeight="1" x14ac:dyDescent="0.2">
      <c r="K694" s="24"/>
      <c r="L694" s="24"/>
      <c r="M694" s="24"/>
      <c r="O694" s="24"/>
      <c r="P694" s="25" t="str">
        <f t="shared" si="10"/>
        <v/>
      </c>
    </row>
    <row r="695" spans="11:16" ht="15" customHeight="1" x14ac:dyDescent="0.2">
      <c r="K695" s="24"/>
      <c r="L695" s="24"/>
      <c r="M695" s="24"/>
      <c r="O695" s="24"/>
      <c r="P695" s="25" t="str">
        <f t="shared" si="10"/>
        <v/>
      </c>
    </row>
    <row r="696" spans="11:16" ht="15" customHeight="1" x14ac:dyDescent="0.2">
      <c r="K696" s="24"/>
      <c r="L696" s="24"/>
      <c r="M696" s="24"/>
      <c r="O696" s="24"/>
      <c r="P696" s="25" t="str">
        <f t="shared" si="10"/>
        <v/>
      </c>
    </row>
    <row r="697" spans="11:16" ht="15" customHeight="1" x14ac:dyDescent="0.2">
      <c r="K697" s="24"/>
      <c r="L697" s="24"/>
      <c r="M697" s="24"/>
      <c r="O697" s="24"/>
      <c r="P697" s="25" t="str">
        <f t="shared" si="10"/>
        <v/>
      </c>
    </row>
    <row r="698" spans="11:16" ht="15" customHeight="1" x14ac:dyDescent="0.2">
      <c r="K698" s="24"/>
      <c r="L698" s="24"/>
      <c r="M698" s="24"/>
      <c r="O698" s="24"/>
      <c r="P698" s="25" t="str">
        <f t="shared" si="10"/>
        <v/>
      </c>
    </row>
    <row r="699" spans="11:16" ht="15" customHeight="1" x14ac:dyDescent="0.2">
      <c r="K699" s="24"/>
      <c r="L699" s="24"/>
      <c r="M699" s="24"/>
      <c r="O699" s="24"/>
      <c r="P699" s="25" t="str">
        <f t="shared" si="10"/>
        <v/>
      </c>
    </row>
    <row r="700" spans="11:16" ht="15" customHeight="1" x14ac:dyDescent="0.2">
      <c r="K700" s="24"/>
      <c r="L700" s="24"/>
      <c r="M700" s="24"/>
      <c r="O700" s="24"/>
      <c r="P700" s="25" t="str">
        <f t="shared" si="10"/>
        <v/>
      </c>
    </row>
    <row r="701" spans="11:16" ht="15" customHeight="1" x14ac:dyDescent="0.2">
      <c r="K701" s="24"/>
      <c r="L701" s="24"/>
      <c r="M701" s="24"/>
      <c r="O701" s="24"/>
      <c r="P701" s="25" t="str">
        <f t="shared" si="10"/>
        <v/>
      </c>
    </row>
    <row r="702" spans="11:16" ht="15" customHeight="1" x14ac:dyDescent="0.2">
      <c r="K702" s="24"/>
      <c r="L702" s="24"/>
      <c r="M702" s="24"/>
      <c r="O702" s="24"/>
      <c r="P702" s="25" t="str">
        <f t="shared" si="10"/>
        <v/>
      </c>
    </row>
    <row r="703" spans="11:16" ht="15" customHeight="1" x14ac:dyDescent="0.2">
      <c r="K703" s="24"/>
      <c r="L703" s="24"/>
      <c r="M703" s="24"/>
      <c r="O703" s="24"/>
      <c r="P703" s="25" t="str">
        <f t="shared" si="10"/>
        <v/>
      </c>
    </row>
    <row r="704" spans="11:16" ht="15" customHeight="1" x14ac:dyDescent="0.2">
      <c r="K704" s="24"/>
      <c r="L704" s="24"/>
      <c r="M704" s="24"/>
      <c r="O704" s="24"/>
      <c r="P704" s="25" t="str">
        <f t="shared" si="10"/>
        <v/>
      </c>
    </row>
    <row r="705" spans="11:16" ht="15" customHeight="1" x14ac:dyDescent="0.2">
      <c r="K705" s="24"/>
      <c r="L705" s="24"/>
      <c r="M705" s="24"/>
      <c r="O705" s="24"/>
      <c r="P705" s="25" t="str">
        <f t="shared" si="10"/>
        <v/>
      </c>
    </row>
    <row r="706" spans="11:16" ht="15" customHeight="1" x14ac:dyDescent="0.2">
      <c r="K706" s="24"/>
      <c r="L706" s="24"/>
      <c r="M706" s="24"/>
      <c r="O706" s="24"/>
      <c r="P706" s="25" t="str">
        <f t="shared" si="10"/>
        <v/>
      </c>
    </row>
    <row r="707" spans="11:16" ht="15" customHeight="1" x14ac:dyDescent="0.2">
      <c r="K707" s="24"/>
      <c r="L707" s="24"/>
      <c r="M707" s="24"/>
      <c r="O707" s="24"/>
      <c r="P707" s="25" t="str">
        <f t="shared" si="10"/>
        <v/>
      </c>
    </row>
    <row r="708" spans="11:16" ht="15" customHeight="1" x14ac:dyDescent="0.2">
      <c r="K708" s="24"/>
      <c r="L708" s="24"/>
      <c r="M708" s="24"/>
      <c r="O708" s="24"/>
      <c r="P708" s="25" t="str">
        <f t="shared" si="10"/>
        <v/>
      </c>
    </row>
    <row r="709" spans="11:16" ht="15" customHeight="1" x14ac:dyDescent="0.2">
      <c r="K709" s="24"/>
      <c r="L709" s="24"/>
      <c r="M709" s="24"/>
      <c r="O709" s="24"/>
      <c r="P709" s="25" t="str">
        <f t="shared" ref="P709:P772" si="11">IF(A709="","",COUNTIF(E709:I709,"Yes"))</f>
        <v/>
      </c>
    </row>
    <row r="710" spans="11:16" ht="15" customHeight="1" x14ac:dyDescent="0.2">
      <c r="K710" s="24"/>
      <c r="L710" s="24"/>
      <c r="M710" s="24"/>
      <c r="O710" s="24"/>
      <c r="P710" s="25" t="str">
        <f t="shared" si="11"/>
        <v/>
      </c>
    </row>
    <row r="711" spans="11:16" ht="15" customHeight="1" x14ac:dyDescent="0.2">
      <c r="K711" s="24"/>
      <c r="L711" s="24"/>
      <c r="M711" s="24"/>
      <c r="O711" s="24"/>
      <c r="P711" s="25" t="str">
        <f t="shared" si="11"/>
        <v/>
      </c>
    </row>
    <row r="712" spans="11:16" ht="15" customHeight="1" x14ac:dyDescent="0.2">
      <c r="K712" s="24"/>
      <c r="L712" s="24"/>
      <c r="M712" s="24"/>
      <c r="O712" s="24"/>
      <c r="P712" s="25" t="str">
        <f t="shared" si="11"/>
        <v/>
      </c>
    </row>
    <row r="713" spans="11:16" ht="15" customHeight="1" x14ac:dyDescent="0.2">
      <c r="K713" s="24"/>
      <c r="L713" s="24"/>
      <c r="M713" s="24"/>
      <c r="O713" s="24"/>
      <c r="P713" s="25" t="str">
        <f t="shared" si="11"/>
        <v/>
      </c>
    </row>
    <row r="714" spans="11:16" ht="15" customHeight="1" x14ac:dyDescent="0.2">
      <c r="K714" s="24"/>
      <c r="L714" s="24"/>
      <c r="M714" s="24"/>
      <c r="O714" s="24"/>
      <c r="P714" s="25" t="str">
        <f t="shared" si="11"/>
        <v/>
      </c>
    </row>
    <row r="715" spans="11:16" ht="15" customHeight="1" x14ac:dyDescent="0.2">
      <c r="K715" s="24"/>
      <c r="L715" s="24"/>
      <c r="M715" s="24"/>
      <c r="O715" s="24"/>
      <c r="P715" s="25" t="str">
        <f t="shared" si="11"/>
        <v/>
      </c>
    </row>
    <row r="716" spans="11:16" ht="15" customHeight="1" x14ac:dyDescent="0.2">
      <c r="K716" s="24"/>
      <c r="L716" s="24"/>
      <c r="M716" s="24"/>
      <c r="O716" s="24"/>
      <c r="P716" s="25" t="str">
        <f t="shared" si="11"/>
        <v/>
      </c>
    </row>
    <row r="717" spans="11:16" ht="15" customHeight="1" x14ac:dyDescent="0.2">
      <c r="K717" s="24"/>
      <c r="L717" s="24"/>
      <c r="M717" s="24"/>
      <c r="O717" s="24"/>
      <c r="P717" s="25" t="str">
        <f t="shared" si="11"/>
        <v/>
      </c>
    </row>
    <row r="718" spans="11:16" ht="15" customHeight="1" x14ac:dyDescent="0.2">
      <c r="K718" s="24"/>
      <c r="L718" s="24"/>
      <c r="M718" s="24"/>
      <c r="O718" s="24"/>
      <c r="P718" s="25" t="str">
        <f t="shared" si="11"/>
        <v/>
      </c>
    </row>
    <row r="719" spans="11:16" ht="15" customHeight="1" x14ac:dyDescent="0.2">
      <c r="K719" s="24"/>
      <c r="L719" s="24"/>
      <c r="M719" s="24"/>
      <c r="O719" s="24"/>
      <c r="P719" s="25" t="str">
        <f t="shared" si="11"/>
        <v/>
      </c>
    </row>
    <row r="720" spans="11:16" ht="15" customHeight="1" x14ac:dyDescent="0.2">
      <c r="K720" s="24"/>
      <c r="L720" s="24"/>
      <c r="M720" s="24"/>
      <c r="O720" s="24"/>
      <c r="P720" s="25" t="str">
        <f t="shared" si="11"/>
        <v/>
      </c>
    </row>
    <row r="721" spans="11:16" ht="15" customHeight="1" x14ac:dyDescent="0.2">
      <c r="K721" s="24"/>
      <c r="L721" s="24"/>
      <c r="M721" s="24"/>
      <c r="O721" s="24"/>
      <c r="P721" s="25" t="str">
        <f t="shared" si="11"/>
        <v/>
      </c>
    </row>
    <row r="722" spans="11:16" ht="15" customHeight="1" x14ac:dyDescent="0.2">
      <c r="K722" s="24"/>
      <c r="L722" s="24"/>
      <c r="M722" s="24"/>
      <c r="O722" s="24"/>
      <c r="P722" s="25" t="str">
        <f t="shared" si="11"/>
        <v/>
      </c>
    </row>
    <row r="723" spans="11:16" ht="15" customHeight="1" x14ac:dyDescent="0.2">
      <c r="K723" s="24"/>
      <c r="L723" s="24"/>
      <c r="M723" s="24"/>
      <c r="O723" s="24"/>
      <c r="P723" s="25" t="str">
        <f t="shared" si="11"/>
        <v/>
      </c>
    </row>
    <row r="724" spans="11:16" ht="15" customHeight="1" x14ac:dyDescent="0.2">
      <c r="K724" s="24"/>
      <c r="L724" s="24"/>
      <c r="M724" s="24"/>
      <c r="O724" s="24"/>
      <c r="P724" s="25" t="str">
        <f t="shared" si="11"/>
        <v/>
      </c>
    </row>
    <row r="725" spans="11:16" ht="15" customHeight="1" x14ac:dyDescent="0.2">
      <c r="K725" s="24"/>
      <c r="L725" s="24"/>
      <c r="M725" s="24"/>
      <c r="O725" s="24"/>
      <c r="P725" s="25" t="str">
        <f t="shared" si="11"/>
        <v/>
      </c>
    </row>
    <row r="726" spans="11:16" ht="15" customHeight="1" x14ac:dyDescent="0.2">
      <c r="K726" s="24"/>
      <c r="L726" s="24"/>
      <c r="M726" s="24"/>
      <c r="O726" s="24"/>
      <c r="P726" s="25" t="str">
        <f t="shared" si="11"/>
        <v/>
      </c>
    </row>
    <row r="727" spans="11:16" ht="15" customHeight="1" x14ac:dyDescent="0.2">
      <c r="K727" s="24"/>
      <c r="L727" s="24"/>
      <c r="M727" s="24"/>
      <c r="O727" s="24"/>
      <c r="P727" s="25" t="str">
        <f t="shared" si="11"/>
        <v/>
      </c>
    </row>
    <row r="728" spans="11:16" ht="15" customHeight="1" x14ac:dyDescent="0.2">
      <c r="K728" s="24"/>
      <c r="L728" s="24"/>
      <c r="M728" s="24"/>
      <c r="O728" s="24"/>
      <c r="P728" s="25" t="str">
        <f t="shared" si="11"/>
        <v/>
      </c>
    </row>
    <row r="729" spans="11:16" ht="15" customHeight="1" x14ac:dyDescent="0.2">
      <c r="K729" s="24"/>
      <c r="L729" s="24"/>
      <c r="M729" s="24"/>
      <c r="O729" s="24"/>
      <c r="P729" s="25" t="str">
        <f t="shared" si="11"/>
        <v/>
      </c>
    </row>
    <row r="730" spans="11:16" ht="15" customHeight="1" x14ac:dyDescent="0.2">
      <c r="K730" s="24"/>
      <c r="L730" s="24"/>
      <c r="M730" s="24"/>
      <c r="O730" s="24"/>
      <c r="P730" s="25" t="str">
        <f t="shared" si="11"/>
        <v/>
      </c>
    </row>
    <row r="731" spans="11:16" ht="15" customHeight="1" x14ac:dyDescent="0.2">
      <c r="K731" s="24"/>
      <c r="L731" s="24"/>
      <c r="M731" s="24"/>
      <c r="O731" s="24"/>
      <c r="P731" s="25" t="str">
        <f t="shared" si="11"/>
        <v/>
      </c>
    </row>
    <row r="732" spans="11:16" ht="15" customHeight="1" x14ac:dyDescent="0.2">
      <c r="K732" s="24"/>
      <c r="L732" s="24"/>
      <c r="M732" s="24"/>
      <c r="O732" s="24"/>
      <c r="P732" s="25" t="str">
        <f t="shared" si="11"/>
        <v/>
      </c>
    </row>
    <row r="733" spans="11:16" ht="15" customHeight="1" x14ac:dyDescent="0.2">
      <c r="K733" s="24"/>
      <c r="L733" s="24"/>
      <c r="M733" s="24"/>
      <c r="O733" s="24"/>
      <c r="P733" s="25" t="str">
        <f t="shared" si="11"/>
        <v/>
      </c>
    </row>
    <row r="734" spans="11:16" ht="15" customHeight="1" x14ac:dyDescent="0.2">
      <c r="K734" s="24"/>
      <c r="L734" s="24"/>
      <c r="M734" s="24"/>
      <c r="O734" s="24"/>
      <c r="P734" s="25" t="str">
        <f t="shared" si="11"/>
        <v/>
      </c>
    </row>
    <row r="735" spans="11:16" ht="15" customHeight="1" x14ac:dyDescent="0.2">
      <c r="K735" s="24"/>
      <c r="L735" s="24"/>
      <c r="M735" s="24"/>
      <c r="O735" s="24"/>
      <c r="P735" s="25" t="str">
        <f t="shared" si="11"/>
        <v/>
      </c>
    </row>
    <row r="736" spans="11:16" ht="15" customHeight="1" x14ac:dyDescent="0.2">
      <c r="K736" s="24"/>
      <c r="L736" s="24"/>
      <c r="M736" s="24"/>
      <c r="O736" s="24"/>
      <c r="P736" s="25" t="str">
        <f t="shared" si="11"/>
        <v/>
      </c>
    </row>
    <row r="737" spans="11:16" ht="15" customHeight="1" x14ac:dyDescent="0.2">
      <c r="K737" s="24"/>
      <c r="L737" s="24"/>
      <c r="M737" s="24"/>
      <c r="O737" s="24"/>
      <c r="P737" s="25" t="str">
        <f t="shared" si="11"/>
        <v/>
      </c>
    </row>
    <row r="738" spans="11:16" ht="15" customHeight="1" x14ac:dyDescent="0.2">
      <c r="K738" s="24"/>
      <c r="L738" s="24"/>
      <c r="M738" s="24"/>
      <c r="O738" s="24"/>
      <c r="P738" s="25" t="str">
        <f t="shared" si="11"/>
        <v/>
      </c>
    </row>
    <row r="739" spans="11:16" ht="15" customHeight="1" x14ac:dyDescent="0.2">
      <c r="K739" s="24"/>
      <c r="L739" s="24"/>
      <c r="M739" s="24"/>
      <c r="O739" s="24"/>
      <c r="P739" s="25" t="str">
        <f t="shared" si="11"/>
        <v/>
      </c>
    </row>
    <row r="740" spans="11:16" ht="15" customHeight="1" x14ac:dyDescent="0.2">
      <c r="K740" s="24"/>
      <c r="L740" s="24"/>
      <c r="M740" s="24"/>
      <c r="O740" s="24"/>
      <c r="P740" s="25" t="str">
        <f t="shared" si="11"/>
        <v/>
      </c>
    </row>
    <row r="741" spans="11:16" ht="15" customHeight="1" x14ac:dyDescent="0.2">
      <c r="K741" s="24"/>
      <c r="L741" s="24"/>
      <c r="M741" s="24"/>
      <c r="O741" s="24"/>
      <c r="P741" s="25" t="str">
        <f t="shared" si="11"/>
        <v/>
      </c>
    </row>
    <row r="742" spans="11:16" ht="15" customHeight="1" x14ac:dyDescent="0.2">
      <c r="K742" s="24"/>
      <c r="L742" s="24"/>
      <c r="M742" s="24"/>
      <c r="O742" s="24"/>
      <c r="P742" s="25" t="str">
        <f t="shared" si="11"/>
        <v/>
      </c>
    </row>
    <row r="743" spans="11:16" ht="15" customHeight="1" x14ac:dyDescent="0.2">
      <c r="K743" s="24"/>
      <c r="L743" s="24"/>
      <c r="M743" s="24"/>
      <c r="O743" s="24"/>
      <c r="P743" s="25" t="str">
        <f t="shared" si="11"/>
        <v/>
      </c>
    </row>
    <row r="744" spans="11:16" ht="15" customHeight="1" x14ac:dyDescent="0.2">
      <c r="K744" s="24"/>
      <c r="L744" s="24"/>
      <c r="M744" s="24"/>
      <c r="O744" s="24"/>
      <c r="P744" s="25" t="str">
        <f t="shared" si="11"/>
        <v/>
      </c>
    </row>
    <row r="745" spans="11:16" ht="15" customHeight="1" x14ac:dyDescent="0.2">
      <c r="K745" s="24"/>
      <c r="L745" s="24"/>
      <c r="M745" s="24"/>
      <c r="O745" s="24"/>
      <c r="P745" s="25" t="str">
        <f t="shared" si="11"/>
        <v/>
      </c>
    </row>
    <row r="746" spans="11:16" ht="15" customHeight="1" x14ac:dyDescent="0.2">
      <c r="K746" s="24"/>
      <c r="L746" s="24"/>
      <c r="M746" s="24"/>
      <c r="O746" s="24"/>
      <c r="P746" s="25" t="str">
        <f t="shared" si="11"/>
        <v/>
      </c>
    </row>
    <row r="747" spans="11:16" ht="15" customHeight="1" x14ac:dyDescent="0.2">
      <c r="K747" s="24"/>
      <c r="L747" s="24"/>
      <c r="M747" s="24"/>
      <c r="O747" s="24"/>
      <c r="P747" s="25" t="str">
        <f t="shared" si="11"/>
        <v/>
      </c>
    </row>
    <row r="748" spans="11:16" ht="15" customHeight="1" x14ac:dyDescent="0.2">
      <c r="K748" s="24"/>
      <c r="L748" s="24"/>
      <c r="M748" s="24"/>
      <c r="O748" s="24"/>
      <c r="P748" s="25" t="str">
        <f t="shared" si="11"/>
        <v/>
      </c>
    </row>
    <row r="749" spans="11:16" ht="15" customHeight="1" x14ac:dyDescent="0.2">
      <c r="K749" s="24"/>
      <c r="L749" s="24"/>
      <c r="M749" s="24"/>
      <c r="O749" s="24"/>
      <c r="P749" s="25" t="str">
        <f t="shared" si="11"/>
        <v/>
      </c>
    </row>
    <row r="750" spans="11:16" ht="15" customHeight="1" x14ac:dyDescent="0.2">
      <c r="K750" s="24"/>
      <c r="L750" s="24"/>
      <c r="M750" s="24"/>
      <c r="O750" s="24"/>
      <c r="P750" s="25" t="str">
        <f t="shared" si="11"/>
        <v/>
      </c>
    </row>
    <row r="751" spans="11:16" ht="15" customHeight="1" x14ac:dyDescent="0.2">
      <c r="K751" s="24"/>
      <c r="L751" s="24"/>
      <c r="M751" s="24"/>
      <c r="O751" s="24"/>
      <c r="P751" s="25" t="str">
        <f t="shared" si="11"/>
        <v/>
      </c>
    </row>
    <row r="752" spans="11:16" ht="15" customHeight="1" x14ac:dyDescent="0.2">
      <c r="K752" s="24"/>
      <c r="L752" s="24"/>
      <c r="M752" s="24"/>
      <c r="O752" s="24"/>
      <c r="P752" s="25" t="str">
        <f t="shared" si="11"/>
        <v/>
      </c>
    </row>
    <row r="753" spans="11:16" ht="15" customHeight="1" x14ac:dyDescent="0.2">
      <c r="K753" s="24"/>
      <c r="L753" s="24"/>
      <c r="M753" s="24"/>
      <c r="O753" s="24"/>
      <c r="P753" s="25" t="str">
        <f t="shared" si="11"/>
        <v/>
      </c>
    </row>
    <row r="754" spans="11:16" ht="15" customHeight="1" x14ac:dyDescent="0.2">
      <c r="K754" s="24"/>
      <c r="L754" s="24"/>
      <c r="M754" s="24"/>
      <c r="O754" s="24"/>
      <c r="P754" s="25" t="str">
        <f t="shared" si="11"/>
        <v/>
      </c>
    </row>
    <row r="755" spans="11:16" ht="15" customHeight="1" x14ac:dyDescent="0.2">
      <c r="K755" s="24"/>
      <c r="L755" s="24"/>
      <c r="M755" s="24"/>
      <c r="O755" s="24"/>
      <c r="P755" s="25" t="str">
        <f t="shared" si="11"/>
        <v/>
      </c>
    </row>
    <row r="756" spans="11:16" ht="15" customHeight="1" x14ac:dyDescent="0.2">
      <c r="K756" s="24"/>
      <c r="L756" s="24"/>
      <c r="M756" s="24"/>
      <c r="O756" s="24"/>
      <c r="P756" s="25" t="str">
        <f t="shared" si="11"/>
        <v/>
      </c>
    </row>
    <row r="757" spans="11:16" ht="15" customHeight="1" x14ac:dyDescent="0.2">
      <c r="K757" s="24"/>
      <c r="L757" s="24"/>
      <c r="M757" s="24"/>
      <c r="O757" s="24"/>
      <c r="P757" s="25" t="str">
        <f t="shared" si="11"/>
        <v/>
      </c>
    </row>
    <row r="758" spans="11:16" ht="15" customHeight="1" x14ac:dyDescent="0.2">
      <c r="K758" s="24"/>
      <c r="L758" s="24"/>
      <c r="M758" s="24"/>
      <c r="O758" s="24"/>
      <c r="P758" s="25" t="str">
        <f t="shared" si="11"/>
        <v/>
      </c>
    </row>
    <row r="759" spans="11:16" ht="15" customHeight="1" x14ac:dyDescent="0.2">
      <c r="K759" s="24"/>
      <c r="L759" s="24"/>
      <c r="M759" s="24"/>
      <c r="O759" s="24"/>
      <c r="P759" s="25" t="str">
        <f t="shared" si="11"/>
        <v/>
      </c>
    </row>
    <row r="760" spans="11:16" ht="15" customHeight="1" x14ac:dyDescent="0.2">
      <c r="K760" s="24"/>
      <c r="L760" s="24"/>
      <c r="M760" s="24"/>
      <c r="O760" s="24"/>
      <c r="P760" s="25" t="str">
        <f t="shared" si="11"/>
        <v/>
      </c>
    </row>
    <row r="761" spans="11:16" ht="15" customHeight="1" x14ac:dyDescent="0.2">
      <c r="K761" s="24"/>
      <c r="L761" s="24"/>
      <c r="M761" s="24"/>
      <c r="O761" s="24"/>
      <c r="P761" s="25" t="str">
        <f t="shared" si="11"/>
        <v/>
      </c>
    </row>
    <row r="762" spans="11:16" ht="15" customHeight="1" x14ac:dyDescent="0.2">
      <c r="K762" s="24"/>
      <c r="L762" s="24"/>
      <c r="M762" s="24"/>
      <c r="O762" s="24"/>
      <c r="P762" s="25" t="str">
        <f t="shared" si="11"/>
        <v/>
      </c>
    </row>
    <row r="763" spans="11:16" ht="15" customHeight="1" x14ac:dyDescent="0.2">
      <c r="K763" s="24"/>
      <c r="L763" s="24"/>
      <c r="M763" s="24"/>
      <c r="O763" s="24"/>
      <c r="P763" s="25" t="str">
        <f t="shared" si="11"/>
        <v/>
      </c>
    </row>
    <row r="764" spans="11:16" ht="15" customHeight="1" x14ac:dyDescent="0.2">
      <c r="K764" s="24"/>
      <c r="L764" s="24"/>
      <c r="M764" s="24"/>
      <c r="O764" s="24"/>
      <c r="P764" s="25" t="str">
        <f t="shared" si="11"/>
        <v/>
      </c>
    </row>
    <row r="765" spans="11:16" ht="15" customHeight="1" x14ac:dyDescent="0.2">
      <c r="K765" s="24"/>
      <c r="L765" s="24"/>
      <c r="M765" s="24"/>
      <c r="O765" s="24"/>
      <c r="P765" s="25" t="str">
        <f t="shared" si="11"/>
        <v/>
      </c>
    </row>
    <row r="766" spans="11:16" ht="15" customHeight="1" x14ac:dyDescent="0.2">
      <c r="K766" s="24"/>
      <c r="L766" s="24"/>
      <c r="M766" s="24"/>
      <c r="O766" s="24"/>
      <c r="P766" s="25" t="str">
        <f t="shared" si="11"/>
        <v/>
      </c>
    </row>
    <row r="767" spans="11:16" ht="15" customHeight="1" x14ac:dyDescent="0.2">
      <c r="K767" s="24"/>
      <c r="L767" s="24"/>
      <c r="M767" s="24"/>
      <c r="O767" s="24"/>
      <c r="P767" s="25" t="str">
        <f t="shared" si="11"/>
        <v/>
      </c>
    </row>
    <row r="768" spans="11:16" ht="15" customHeight="1" x14ac:dyDescent="0.2">
      <c r="K768" s="24"/>
      <c r="L768" s="24"/>
      <c r="M768" s="24"/>
      <c r="O768" s="24"/>
      <c r="P768" s="25" t="str">
        <f t="shared" si="11"/>
        <v/>
      </c>
    </row>
    <row r="769" spans="11:16" ht="15" customHeight="1" x14ac:dyDescent="0.2">
      <c r="K769" s="24"/>
      <c r="L769" s="24"/>
      <c r="M769" s="24"/>
      <c r="O769" s="24"/>
      <c r="P769" s="25" t="str">
        <f t="shared" si="11"/>
        <v/>
      </c>
    </row>
    <row r="770" spans="11:16" ht="15" customHeight="1" x14ac:dyDescent="0.2">
      <c r="K770" s="24"/>
      <c r="L770" s="24"/>
      <c r="M770" s="24"/>
      <c r="O770" s="24"/>
      <c r="P770" s="25" t="str">
        <f t="shared" si="11"/>
        <v/>
      </c>
    </row>
    <row r="771" spans="11:16" ht="15" customHeight="1" x14ac:dyDescent="0.2">
      <c r="K771" s="24"/>
      <c r="L771" s="24"/>
      <c r="M771" s="24"/>
      <c r="O771" s="24"/>
      <c r="P771" s="25" t="str">
        <f t="shared" si="11"/>
        <v/>
      </c>
    </row>
    <row r="772" spans="11:16" ht="15" customHeight="1" x14ac:dyDescent="0.2">
      <c r="K772" s="24"/>
      <c r="L772" s="24"/>
      <c r="M772" s="24"/>
      <c r="O772" s="24"/>
      <c r="P772" s="25" t="str">
        <f t="shared" si="11"/>
        <v/>
      </c>
    </row>
    <row r="773" spans="11:16" ht="15" customHeight="1" x14ac:dyDescent="0.2">
      <c r="K773" s="24"/>
      <c r="L773" s="24"/>
      <c r="M773" s="24"/>
      <c r="O773" s="24"/>
      <c r="P773" s="25" t="str">
        <f t="shared" ref="P773:P836" si="12">IF(A773="","",COUNTIF(E773:I773,"Yes"))</f>
        <v/>
      </c>
    </row>
    <row r="774" spans="11:16" ht="15" customHeight="1" x14ac:dyDescent="0.2">
      <c r="K774" s="24"/>
      <c r="L774" s="24"/>
      <c r="M774" s="24"/>
      <c r="O774" s="24"/>
      <c r="P774" s="25" t="str">
        <f t="shared" si="12"/>
        <v/>
      </c>
    </row>
    <row r="775" spans="11:16" ht="15" customHeight="1" x14ac:dyDescent="0.2">
      <c r="K775" s="24"/>
      <c r="L775" s="24"/>
      <c r="M775" s="24"/>
      <c r="O775" s="24"/>
      <c r="P775" s="25" t="str">
        <f t="shared" si="12"/>
        <v/>
      </c>
    </row>
    <row r="776" spans="11:16" ht="15" customHeight="1" x14ac:dyDescent="0.2">
      <c r="K776" s="24"/>
      <c r="L776" s="24"/>
      <c r="M776" s="24"/>
      <c r="O776" s="24"/>
      <c r="P776" s="25" t="str">
        <f t="shared" si="12"/>
        <v/>
      </c>
    </row>
    <row r="777" spans="11:16" ht="15" customHeight="1" x14ac:dyDescent="0.2">
      <c r="K777" s="24"/>
      <c r="L777" s="24"/>
      <c r="M777" s="24"/>
      <c r="O777" s="24"/>
      <c r="P777" s="25" t="str">
        <f t="shared" si="12"/>
        <v/>
      </c>
    </row>
    <row r="778" spans="11:16" ht="15" customHeight="1" x14ac:dyDescent="0.2">
      <c r="K778" s="24"/>
      <c r="L778" s="24"/>
      <c r="M778" s="24"/>
      <c r="O778" s="24"/>
      <c r="P778" s="25" t="str">
        <f t="shared" si="12"/>
        <v/>
      </c>
    </row>
    <row r="779" spans="11:16" ht="15" customHeight="1" x14ac:dyDescent="0.2">
      <c r="K779" s="24"/>
      <c r="L779" s="24"/>
      <c r="M779" s="24"/>
      <c r="O779" s="24"/>
      <c r="P779" s="25" t="str">
        <f t="shared" si="12"/>
        <v/>
      </c>
    </row>
    <row r="780" spans="11:16" ht="15" customHeight="1" x14ac:dyDescent="0.2">
      <c r="K780" s="24"/>
      <c r="L780" s="24"/>
      <c r="M780" s="24"/>
      <c r="O780" s="24"/>
      <c r="P780" s="25" t="str">
        <f t="shared" si="12"/>
        <v/>
      </c>
    </row>
    <row r="781" spans="11:16" ht="15" customHeight="1" x14ac:dyDescent="0.2">
      <c r="K781" s="24"/>
      <c r="L781" s="24"/>
      <c r="M781" s="24"/>
      <c r="O781" s="24"/>
      <c r="P781" s="25" t="str">
        <f t="shared" si="12"/>
        <v/>
      </c>
    </row>
    <row r="782" spans="11:16" ht="15" customHeight="1" x14ac:dyDescent="0.2">
      <c r="K782" s="24"/>
      <c r="L782" s="24"/>
      <c r="M782" s="24"/>
      <c r="O782" s="24"/>
      <c r="P782" s="25" t="str">
        <f t="shared" si="12"/>
        <v/>
      </c>
    </row>
    <row r="783" spans="11:16" ht="15" customHeight="1" x14ac:dyDescent="0.2">
      <c r="K783" s="24"/>
      <c r="L783" s="24"/>
      <c r="M783" s="24"/>
      <c r="O783" s="24"/>
      <c r="P783" s="25" t="str">
        <f t="shared" si="12"/>
        <v/>
      </c>
    </row>
    <row r="784" spans="11:16" ht="15" customHeight="1" x14ac:dyDescent="0.2">
      <c r="K784" s="24"/>
      <c r="L784" s="24"/>
      <c r="M784" s="24"/>
      <c r="O784" s="24"/>
      <c r="P784" s="25" t="str">
        <f t="shared" si="12"/>
        <v/>
      </c>
    </row>
    <row r="785" spans="11:16" ht="15" customHeight="1" x14ac:dyDescent="0.2">
      <c r="K785" s="24"/>
      <c r="L785" s="24"/>
      <c r="M785" s="24"/>
      <c r="O785" s="24"/>
      <c r="P785" s="25" t="str">
        <f t="shared" si="12"/>
        <v/>
      </c>
    </row>
    <row r="786" spans="11:16" ht="15" customHeight="1" x14ac:dyDescent="0.2">
      <c r="K786" s="24"/>
      <c r="L786" s="24"/>
      <c r="M786" s="24"/>
      <c r="O786" s="24"/>
      <c r="P786" s="25" t="str">
        <f t="shared" si="12"/>
        <v/>
      </c>
    </row>
    <row r="787" spans="11:16" ht="15" customHeight="1" x14ac:dyDescent="0.2">
      <c r="K787" s="24"/>
      <c r="L787" s="24"/>
      <c r="M787" s="24"/>
      <c r="O787" s="24"/>
      <c r="P787" s="25" t="str">
        <f t="shared" si="12"/>
        <v/>
      </c>
    </row>
    <row r="788" spans="11:16" ht="15" customHeight="1" x14ac:dyDescent="0.2">
      <c r="K788" s="24"/>
      <c r="L788" s="24"/>
      <c r="M788" s="24"/>
      <c r="O788" s="24"/>
      <c r="P788" s="25" t="str">
        <f t="shared" si="12"/>
        <v/>
      </c>
    </row>
    <row r="789" spans="11:16" ht="15" customHeight="1" x14ac:dyDescent="0.2">
      <c r="K789" s="24"/>
      <c r="L789" s="24"/>
      <c r="M789" s="24"/>
      <c r="O789" s="24"/>
      <c r="P789" s="25" t="str">
        <f t="shared" si="12"/>
        <v/>
      </c>
    </row>
    <row r="790" spans="11:16" ht="15" customHeight="1" x14ac:dyDescent="0.2">
      <c r="K790" s="24"/>
      <c r="L790" s="24"/>
      <c r="M790" s="24"/>
      <c r="O790" s="24"/>
      <c r="P790" s="25" t="str">
        <f t="shared" si="12"/>
        <v/>
      </c>
    </row>
    <row r="791" spans="11:16" ht="15" customHeight="1" x14ac:dyDescent="0.2">
      <c r="K791" s="24"/>
      <c r="L791" s="24"/>
      <c r="M791" s="24"/>
      <c r="O791" s="24"/>
      <c r="P791" s="25" t="str">
        <f t="shared" si="12"/>
        <v/>
      </c>
    </row>
    <row r="792" spans="11:16" ht="15" customHeight="1" x14ac:dyDescent="0.2">
      <c r="K792" s="24"/>
      <c r="L792" s="24"/>
      <c r="M792" s="24"/>
      <c r="O792" s="24"/>
      <c r="P792" s="25" t="str">
        <f t="shared" si="12"/>
        <v/>
      </c>
    </row>
    <row r="793" spans="11:16" ht="15" customHeight="1" x14ac:dyDescent="0.2">
      <c r="K793" s="24"/>
      <c r="L793" s="24"/>
      <c r="M793" s="24"/>
      <c r="O793" s="24"/>
      <c r="P793" s="25" t="str">
        <f t="shared" si="12"/>
        <v/>
      </c>
    </row>
    <row r="794" spans="11:16" ht="15" customHeight="1" x14ac:dyDescent="0.2">
      <c r="K794" s="24"/>
      <c r="L794" s="24"/>
      <c r="M794" s="24"/>
      <c r="O794" s="24"/>
      <c r="P794" s="25" t="str">
        <f t="shared" si="12"/>
        <v/>
      </c>
    </row>
    <row r="795" spans="11:16" ht="15" customHeight="1" x14ac:dyDescent="0.2">
      <c r="K795" s="24"/>
      <c r="L795" s="24"/>
      <c r="M795" s="24"/>
      <c r="O795" s="24"/>
      <c r="P795" s="25" t="str">
        <f t="shared" si="12"/>
        <v/>
      </c>
    </row>
    <row r="796" spans="11:16" ht="15" customHeight="1" x14ac:dyDescent="0.2">
      <c r="K796" s="24"/>
      <c r="L796" s="24"/>
      <c r="M796" s="24"/>
      <c r="O796" s="24"/>
      <c r="P796" s="25" t="str">
        <f t="shared" si="12"/>
        <v/>
      </c>
    </row>
    <row r="797" spans="11:16" ht="15" customHeight="1" x14ac:dyDescent="0.2">
      <c r="K797" s="24"/>
      <c r="L797" s="24"/>
      <c r="M797" s="24"/>
      <c r="O797" s="24"/>
      <c r="P797" s="25" t="str">
        <f t="shared" si="12"/>
        <v/>
      </c>
    </row>
    <row r="798" spans="11:16" ht="15" customHeight="1" x14ac:dyDescent="0.2">
      <c r="K798" s="24"/>
      <c r="L798" s="24"/>
      <c r="M798" s="24"/>
      <c r="O798" s="24"/>
      <c r="P798" s="25" t="str">
        <f t="shared" si="12"/>
        <v/>
      </c>
    </row>
    <row r="799" spans="11:16" ht="15" customHeight="1" x14ac:dyDescent="0.2">
      <c r="K799" s="24"/>
      <c r="L799" s="24"/>
      <c r="M799" s="24"/>
      <c r="O799" s="24"/>
      <c r="P799" s="25" t="str">
        <f t="shared" si="12"/>
        <v/>
      </c>
    </row>
    <row r="800" spans="11:16" ht="15" customHeight="1" x14ac:dyDescent="0.2">
      <c r="K800" s="24"/>
      <c r="L800" s="24"/>
      <c r="M800" s="24"/>
      <c r="O800" s="24"/>
      <c r="P800" s="25" t="str">
        <f t="shared" si="12"/>
        <v/>
      </c>
    </row>
    <row r="801" spans="11:16" ht="15" customHeight="1" x14ac:dyDescent="0.2">
      <c r="K801" s="24"/>
      <c r="L801" s="24"/>
      <c r="M801" s="24"/>
      <c r="O801" s="24"/>
      <c r="P801" s="25" t="str">
        <f t="shared" si="12"/>
        <v/>
      </c>
    </row>
    <row r="802" spans="11:16" ht="15" customHeight="1" x14ac:dyDescent="0.2">
      <c r="K802" s="24"/>
      <c r="L802" s="24"/>
      <c r="M802" s="24"/>
      <c r="O802" s="24"/>
      <c r="P802" s="25" t="str">
        <f t="shared" si="12"/>
        <v/>
      </c>
    </row>
    <row r="803" spans="11:16" ht="15" customHeight="1" x14ac:dyDescent="0.2">
      <c r="K803" s="24"/>
      <c r="L803" s="24"/>
      <c r="M803" s="24"/>
      <c r="O803" s="24"/>
      <c r="P803" s="25" t="str">
        <f t="shared" si="12"/>
        <v/>
      </c>
    </row>
    <row r="804" spans="11:16" ht="15" customHeight="1" x14ac:dyDescent="0.2">
      <c r="K804" s="24"/>
      <c r="L804" s="24"/>
      <c r="M804" s="24"/>
      <c r="O804" s="24"/>
      <c r="P804" s="25" t="str">
        <f t="shared" si="12"/>
        <v/>
      </c>
    </row>
    <row r="805" spans="11:16" ht="15" customHeight="1" x14ac:dyDescent="0.2">
      <c r="K805" s="24"/>
      <c r="L805" s="24"/>
      <c r="M805" s="24"/>
      <c r="O805" s="24"/>
      <c r="P805" s="25" t="str">
        <f t="shared" si="12"/>
        <v/>
      </c>
    </row>
    <row r="806" spans="11:16" ht="15" customHeight="1" x14ac:dyDescent="0.2">
      <c r="K806" s="24"/>
      <c r="L806" s="24"/>
      <c r="M806" s="24"/>
      <c r="O806" s="24"/>
      <c r="P806" s="25" t="str">
        <f t="shared" si="12"/>
        <v/>
      </c>
    </row>
    <row r="807" spans="11:16" ht="15" customHeight="1" x14ac:dyDescent="0.2">
      <c r="K807" s="24"/>
      <c r="L807" s="24"/>
      <c r="M807" s="24"/>
      <c r="O807" s="24"/>
      <c r="P807" s="25" t="str">
        <f t="shared" si="12"/>
        <v/>
      </c>
    </row>
    <row r="808" spans="11:16" ht="15" customHeight="1" x14ac:dyDescent="0.2">
      <c r="K808" s="24"/>
      <c r="L808" s="24"/>
      <c r="M808" s="24"/>
      <c r="O808" s="24"/>
      <c r="P808" s="25" t="str">
        <f t="shared" si="12"/>
        <v/>
      </c>
    </row>
    <row r="809" spans="11:16" ht="15" customHeight="1" x14ac:dyDescent="0.2">
      <c r="K809" s="24"/>
      <c r="L809" s="24"/>
      <c r="M809" s="24"/>
      <c r="O809" s="24"/>
      <c r="P809" s="25" t="str">
        <f t="shared" si="12"/>
        <v/>
      </c>
    </row>
    <row r="810" spans="11:16" ht="15" customHeight="1" x14ac:dyDescent="0.2">
      <c r="K810" s="24"/>
      <c r="L810" s="24"/>
      <c r="M810" s="24"/>
      <c r="O810" s="24"/>
      <c r="P810" s="25" t="str">
        <f t="shared" si="12"/>
        <v/>
      </c>
    </row>
    <row r="811" spans="11:16" ht="15" customHeight="1" x14ac:dyDescent="0.2">
      <c r="K811" s="24"/>
      <c r="L811" s="24"/>
      <c r="M811" s="24"/>
      <c r="O811" s="24"/>
      <c r="P811" s="25" t="str">
        <f t="shared" si="12"/>
        <v/>
      </c>
    </row>
    <row r="812" spans="11:16" ht="15" customHeight="1" x14ac:dyDescent="0.2">
      <c r="K812" s="24"/>
      <c r="L812" s="24"/>
      <c r="M812" s="24"/>
      <c r="O812" s="24"/>
      <c r="P812" s="25" t="str">
        <f t="shared" si="12"/>
        <v/>
      </c>
    </row>
    <row r="813" spans="11:16" ht="15" customHeight="1" x14ac:dyDescent="0.2">
      <c r="K813" s="24"/>
      <c r="L813" s="24"/>
      <c r="M813" s="24"/>
      <c r="O813" s="24"/>
      <c r="P813" s="25" t="str">
        <f t="shared" si="12"/>
        <v/>
      </c>
    </row>
    <row r="814" spans="11:16" ht="15" customHeight="1" x14ac:dyDescent="0.2">
      <c r="K814" s="24"/>
      <c r="L814" s="24"/>
      <c r="M814" s="24"/>
      <c r="O814" s="24"/>
      <c r="P814" s="25" t="str">
        <f t="shared" si="12"/>
        <v/>
      </c>
    </row>
    <row r="815" spans="11:16" ht="15" customHeight="1" x14ac:dyDescent="0.2">
      <c r="K815" s="24"/>
      <c r="L815" s="24"/>
      <c r="M815" s="24"/>
      <c r="O815" s="24"/>
      <c r="P815" s="25" t="str">
        <f t="shared" si="12"/>
        <v/>
      </c>
    </row>
    <row r="816" spans="11:16" ht="15" customHeight="1" x14ac:dyDescent="0.2">
      <c r="K816" s="24"/>
      <c r="L816" s="24"/>
      <c r="M816" s="24"/>
      <c r="O816" s="24"/>
      <c r="P816" s="25" t="str">
        <f t="shared" si="12"/>
        <v/>
      </c>
    </row>
    <row r="817" spans="11:16" ht="15" customHeight="1" x14ac:dyDescent="0.2">
      <c r="K817" s="24"/>
      <c r="L817" s="24"/>
      <c r="M817" s="24"/>
      <c r="O817" s="24"/>
      <c r="P817" s="25" t="str">
        <f t="shared" si="12"/>
        <v/>
      </c>
    </row>
    <row r="818" spans="11:16" ht="15" customHeight="1" x14ac:dyDescent="0.2">
      <c r="K818" s="24"/>
      <c r="L818" s="24"/>
      <c r="M818" s="24"/>
      <c r="O818" s="24"/>
      <c r="P818" s="25" t="str">
        <f t="shared" si="12"/>
        <v/>
      </c>
    </row>
    <row r="819" spans="11:16" ht="15" customHeight="1" x14ac:dyDescent="0.2">
      <c r="K819" s="24"/>
      <c r="L819" s="24"/>
      <c r="M819" s="24"/>
      <c r="O819" s="24"/>
      <c r="P819" s="25" t="str">
        <f t="shared" si="12"/>
        <v/>
      </c>
    </row>
    <row r="820" spans="11:16" ht="15" customHeight="1" x14ac:dyDescent="0.2">
      <c r="K820" s="24"/>
      <c r="L820" s="24"/>
      <c r="M820" s="24"/>
      <c r="O820" s="24"/>
      <c r="P820" s="25" t="str">
        <f t="shared" si="12"/>
        <v/>
      </c>
    </row>
    <row r="821" spans="11:16" ht="15" customHeight="1" x14ac:dyDescent="0.2">
      <c r="K821" s="24"/>
      <c r="L821" s="24"/>
      <c r="M821" s="24"/>
      <c r="O821" s="24"/>
      <c r="P821" s="25" t="str">
        <f t="shared" si="12"/>
        <v/>
      </c>
    </row>
    <row r="822" spans="11:16" ht="15" customHeight="1" x14ac:dyDescent="0.2">
      <c r="K822" s="24"/>
      <c r="L822" s="24"/>
      <c r="M822" s="24"/>
      <c r="O822" s="24"/>
      <c r="P822" s="25" t="str">
        <f t="shared" si="12"/>
        <v/>
      </c>
    </row>
    <row r="823" spans="11:16" ht="15" customHeight="1" x14ac:dyDescent="0.2">
      <c r="K823" s="24"/>
      <c r="L823" s="24"/>
      <c r="M823" s="24"/>
      <c r="O823" s="24"/>
      <c r="P823" s="25" t="str">
        <f t="shared" si="12"/>
        <v/>
      </c>
    </row>
    <row r="824" spans="11:16" ht="15" customHeight="1" x14ac:dyDescent="0.2">
      <c r="K824" s="24"/>
      <c r="L824" s="24"/>
      <c r="M824" s="24"/>
      <c r="O824" s="24"/>
      <c r="P824" s="25" t="str">
        <f t="shared" si="12"/>
        <v/>
      </c>
    </row>
    <row r="825" spans="11:16" ht="15" customHeight="1" x14ac:dyDescent="0.2">
      <c r="K825" s="24"/>
      <c r="L825" s="24"/>
      <c r="M825" s="24"/>
      <c r="O825" s="24"/>
      <c r="P825" s="25" t="str">
        <f t="shared" si="12"/>
        <v/>
      </c>
    </row>
    <row r="826" spans="11:16" ht="15" customHeight="1" x14ac:dyDescent="0.2">
      <c r="K826" s="24"/>
      <c r="L826" s="24"/>
      <c r="M826" s="24"/>
      <c r="O826" s="24"/>
      <c r="P826" s="25" t="str">
        <f t="shared" si="12"/>
        <v/>
      </c>
    </row>
    <row r="827" spans="11:16" ht="15" customHeight="1" x14ac:dyDescent="0.2">
      <c r="K827" s="24"/>
      <c r="L827" s="24"/>
      <c r="M827" s="24"/>
      <c r="O827" s="24"/>
      <c r="P827" s="25" t="str">
        <f t="shared" si="12"/>
        <v/>
      </c>
    </row>
    <row r="828" spans="11:16" ht="15" customHeight="1" x14ac:dyDescent="0.2">
      <c r="K828" s="24"/>
      <c r="L828" s="24"/>
      <c r="M828" s="24"/>
      <c r="O828" s="24"/>
      <c r="P828" s="25" t="str">
        <f t="shared" si="12"/>
        <v/>
      </c>
    </row>
    <row r="829" spans="11:16" ht="15" customHeight="1" x14ac:dyDescent="0.2">
      <c r="K829" s="24"/>
      <c r="L829" s="24"/>
      <c r="M829" s="24"/>
      <c r="O829" s="24"/>
      <c r="P829" s="25" t="str">
        <f t="shared" si="12"/>
        <v/>
      </c>
    </row>
    <row r="830" spans="11:16" ht="15" customHeight="1" x14ac:dyDescent="0.2">
      <c r="K830" s="24"/>
      <c r="L830" s="24"/>
      <c r="M830" s="24"/>
      <c r="O830" s="24"/>
      <c r="P830" s="25" t="str">
        <f t="shared" si="12"/>
        <v/>
      </c>
    </row>
    <row r="831" spans="11:16" ht="15" customHeight="1" x14ac:dyDescent="0.2">
      <c r="K831" s="24"/>
      <c r="L831" s="24"/>
      <c r="M831" s="24"/>
      <c r="O831" s="24"/>
      <c r="P831" s="25" t="str">
        <f t="shared" si="12"/>
        <v/>
      </c>
    </row>
    <row r="832" spans="11:16" ht="15" customHeight="1" x14ac:dyDescent="0.2">
      <c r="K832" s="24"/>
      <c r="L832" s="24"/>
      <c r="M832" s="24"/>
      <c r="O832" s="24"/>
      <c r="P832" s="25" t="str">
        <f t="shared" si="12"/>
        <v/>
      </c>
    </row>
    <row r="833" spans="11:16" ht="15" customHeight="1" x14ac:dyDescent="0.2">
      <c r="K833" s="24"/>
      <c r="L833" s="24"/>
      <c r="M833" s="24"/>
      <c r="O833" s="24"/>
      <c r="P833" s="25" t="str">
        <f t="shared" si="12"/>
        <v/>
      </c>
    </row>
    <row r="834" spans="11:16" ht="15" customHeight="1" x14ac:dyDescent="0.2">
      <c r="K834" s="24"/>
      <c r="L834" s="24"/>
      <c r="M834" s="24"/>
      <c r="O834" s="24"/>
      <c r="P834" s="25" t="str">
        <f t="shared" si="12"/>
        <v/>
      </c>
    </row>
    <row r="835" spans="11:16" ht="15" customHeight="1" x14ac:dyDescent="0.2">
      <c r="K835" s="24"/>
      <c r="L835" s="24"/>
      <c r="M835" s="24"/>
      <c r="O835" s="24"/>
      <c r="P835" s="25" t="str">
        <f t="shared" si="12"/>
        <v/>
      </c>
    </row>
    <row r="836" spans="11:16" ht="15" customHeight="1" x14ac:dyDescent="0.2">
      <c r="K836" s="24"/>
      <c r="L836" s="24"/>
      <c r="M836" s="24"/>
      <c r="O836" s="24"/>
      <c r="P836" s="25" t="str">
        <f t="shared" si="12"/>
        <v/>
      </c>
    </row>
    <row r="837" spans="11:16" ht="15" customHeight="1" x14ac:dyDescent="0.2">
      <c r="K837" s="24"/>
      <c r="L837" s="24"/>
      <c r="M837" s="24"/>
      <c r="O837" s="24"/>
      <c r="P837" s="25" t="str">
        <f t="shared" ref="P837:P900" si="13">IF(A837="","",COUNTIF(E837:I837,"Yes"))</f>
        <v/>
      </c>
    </row>
    <row r="838" spans="11:16" ht="15" customHeight="1" x14ac:dyDescent="0.2">
      <c r="K838" s="24"/>
      <c r="L838" s="24"/>
      <c r="M838" s="24"/>
      <c r="O838" s="24"/>
      <c r="P838" s="25" t="str">
        <f t="shared" si="13"/>
        <v/>
      </c>
    </row>
    <row r="839" spans="11:16" ht="15" customHeight="1" x14ac:dyDescent="0.2">
      <c r="K839" s="24"/>
      <c r="L839" s="24"/>
      <c r="M839" s="24"/>
      <c r="O839" s="24"/>
      <c r="P839" s="25" t="str">
        <f t="shared" si="13"/>
        <v/>
      </c>
    </row>
    <row r="840" spans="11:16" ht="15" customHeight="1" x14ac:dyDescent="0.2">
      <c r="K840" s="24"/>
      <c r="L840" s="24"/>
      <c r="M840" s="24"/>
      <c r="O840" s="24"/>
      <c r="P840" s="25" t="str">
        <f t="shared" si="13"/>
        <v/>
      </c>
    </row>
    <row r="841" spans="11:16" ht="15" customHeight="1" x14ac:dyDescent="0.2">
      <c r="K841" s="24"/>
      <c r="L841" s="24"/>
      <c r="M841" s="24"/>
      <c r="O841" s="24"/>
      <c r="P841" s="25" t="str">
        <f t="shared" si="13"/>
        <v/>
      </c>
    </row>
    <row r="842" spans="11:16" ht="15" customHeight="1" x14ac:dyDescent="0.2">
      <c r="K842" s="24"/>
      <c r="L842" s="24"/>
      <c r="M842" s="24"/>
      <c r="O842" s="24"/>
      <c r="P842" s="25" t="str">
        <f t="shared" si="13"/>
        <v/>
      </c>
    </row>
    <row r="843" spans="11:16" ht="15" customHeight="1" x14ac:dyDescent="0.2">
      <c r="K843" s="24"/>
      <c r="L843" s="24"/>
      <c r="M843" s="24"/>
      <c r="O843" s="24"/>
      <c r="P843" s="25" t="str">
        <f t="shared" si="13"/>
        <v/>
      </c>
    </row>
    <row r="844" spans="11:16" ht="15" customHeight="1" x14ac:dyDescent="0.2">
      <c r="K844" s="24"/>
      <c r="L844" s="24"/>
      <c r="M844" s="24"/>
      <c r="O844" s="24"/>
      <c r="P844" s="25" t="str">
        <f t="shared" si="13"/>
        <v/>
      </c>
    </row>
    <row r="845" spans="11:16" ht="15" customHeight="1" x14ac:dyDescent="0.2">
      <c r="K845" s="24"/>
      <c r="L845" s="24"/>
      <c r="M845" s="24"/>
      <c r="O845" s="24"/>
      <c r="P845" s="25" t="str">
        <f t="shared" si="13"/>
        <v/>
      </c>
    </row>
    <row r="846" spans="11:16" ht="15" customHeight="1" x14ac:dyDescent="0.2">
      <c r="K846" s="24"/>
      <c r="L846" s="24"/>
      <c r="M846" s="24"/>
      <c r="O846" s="24"/>
      <c r="P846" s="25" t="str">
        <f t="shared" si="13"/>
        <v/>
      </c>
    </row>
    <row r="847" spans="11:16" ht="15" customHeight="1" x14ac:dyDescent="0.2">
      <c r="K847" s="24"/>
      <c r="L847" s="24"/>
      <c r="M847" s="24"/>
      <c r="O847" s="24"/>
      <c r="P847" s="25" t="str">
        <f t="shared" si="13"/>
        <v/>
      </c>
    </row>
    <row r="848" spans="11:16" ht="15" customHeight="1" x14ac:dyDescent="0.2">
      <c r="K848" s="24"/>
      <c r="L848" s="24"/>
      <c r="M848" s="24"/>
      <c r="O848" s="24"/>
      <c r="P848" s="25" t="str">
        <f t="shared" si="13"/>
        <v/>
      </c>
    </row>
    <row r="849" spans="11:16" ht="15" customHeight="1" x14ac:dyDescent="0.2">
      <c r="K849" s="24"/>
      <c r="L849" s="24"/>
      <c r="M849" s="24"/>
      <c r="O849" s="24"/>
      <c r="P849" s="25" t="str">
        <f t="shared" si="13"/>
        <v/>
      </c>
    </row>
    <row r="850" spans="11:16" ht="15" customHeight="1" x14ac:dyDescent="0.2">
      <c r="K850" s="24"/>
      <c r="L850" s="24"/>
      <c r="M850" s="24"/>
      <c r="O850" s="24"/>
      <c r="P850" s="25" t="str">
        <f t="shared" si="13"/>
        <v/>
      </c>
    </row>
    <row r="851" spans="11:16" ht="15" customHeight="1" x14ac:dyDescent="0.2">
      <c r="K851" s="24"/>
      <c r="L851" s="24"/>
      <c r="M851" s="24"/>
      <c r="O851" s="24"/>
      <c r="P851" s="25" t="str">
        <f t="shared" si="13"/>
        <v/>
      </c>
    </row>
    <row r="852" spans="11:16" ht="15" customHeight="1" x14ac:dyDescent="0.2">
      <c r="K852" s="24"/>
      <c r="L852" s="24"/>
      <c r="M852" s="24"/>
      <c r="O852" s="24"/>
      <c r="P852" s="25" t="str">
        <f t="shared" si="13"/>
        <v/>
      </c>
    </row>
    <row r="853" spans="11:16" ht="15" customHeight="1" x14ac:dyDescent="0.2">
      <c r="K853" s="24"/>
      <c r="L853" s="24"/>
      <c r="M853" s="24"/>
      <c r="O853" s="24"/>
      <c r="P853" s="25" t="str">
        <f t="shared" si="13"/>
        <v/>
      </c>
    </row>
    <row r="854" spans="11:16" ht="15" customHeight="1" x14ac:dyDescent="0.2">
      <c r="K854" s="24"/>
      <c r="L854" s="24"/>
      <c r="M854" s="24"/>
      <c r="O854" s="24"/>
      <c r="P854" s="25" t="str">
        <f t="shared" si="13"/>
        <v/>
      </c>
    </row>
    <row r="855" spans="11:16" ht="15" customHeight="1" x14ac:dyDescent="0.2">
      <c r="K855" s="24"/>
      <c r="L855" s="24"/>
      <c r="M855" s="24"/>
      <c r="O855" s="24"/>
      <c r="P855" s="25" t="str">
        <f t="shared" si="13"/>
        <v/>
      </c>
    </row>
    <row r="856" spans="11:16" ht="15" customHeight="1" x14ac:dyDescent="0.2">
      <c r="K856" s="24"/>
      <c r="L856" s="24"/>
      <c r="M856" s="24"/>
      <c r="O856" s="24"/>
      <c r="P856" s="25" t="str">
        <f t="shared" si="13"/>
        <v/>
      </c>
    </row>
    <row r="857" spans="11:16" ht="15" customHeight="1" x14ac:dyDescent="0.2">
      <c r="K857" s="24"/>
      <c r="L857" s="24"/>
      <c r="M857" s="24"/>
      <c r="O857" s="24"/>
      <c r="P857" s="25" t="str">
        <f t="shared" si="13"/>
        <v/>
      </c>
    </row>
    <row r="858" spans="11:16" ht="15" customHeight="1" x14ac:dyDescent="0.2">
      <c r="K858" s="24"/>
      <c r="L858" s="24"/>
      <c r="M858" s="24"/>
      <c r="O858" s="24"/>
      <c r="P858" s="25" t="str">
        <f t="shared" si="13"/>
        <v/>
      </c>
    </row>
    <row r="859" spans="11:16" ht="15" customHeight="1" x14ac:dyDescent="0.2">
      <c r="K859" s="24"/>
      <c r="L859" s="24"/>
      <c r="M859" s="24"/>
      <c r="O859" s="24"/>
      <c r="P859" s="25" t="str">
        <f t="shared" si="13"/>
        <v/>
      </c>
    </row>
    <row r="860" spans="11:16" ht="15" customHeight="1" x14ac:dyDescent="0.2">
      <c r="K860" s="24"/>
      <c r="L860" s="24"/>
      <c r="M860" s="24"/>
      <c r="O860" s="24"/>
      <c r="P860" s="25" t="str">
        <f t="shared" si="13"/>
        <v/>
      </c>
    </row>
    <row r="861" spans="11:16" ht="15" customHeight="1" x14ac:dyDescent="0.2">
      <c r="K861" s="24"/>
      <c r="L861" s="24"/>
      <c r="M861" s="24"/>
      <c r="O861" s="24"/>
      <c r="P861" s="25" t="str">
        <f t="shared" si="13"/>
        <v/>
      </c>
    </row>
    <row r="862" spans="11:16" ht="15" customHeight="1" x14ac:dyDescent="0.2">
      <c r="K862" s="24"/>
      <c r="L862" s="24"/>
      <c r="M862" s="24"/>
      <c r="O862" s="24"/>
      <c r="P862" s="25" t="str">
        <f t="shared" si="13"/>
        <v/>
      </c>
    </row>
    <row r="863" spans="11:16" ht="15" customHeight="1" x14ac:dyDescent="0.2">
      <c r="K863" s="24"/>
      <c r="L863" s="24"/>
      <c r="M863" s="24"/>
      <c r="O863" s="24"/>
      <c r="P863" s="25" t="str">
        <f t="shared" si="13"/>
        <v/>
      </c>
    </row>
    <row r="864" spans="11:16" ht="15" customHeight="1" x14ac:dyDescent="0.2">
      <c r="K864" s="24"/>
      <c r="L864" s="24"/>
      <c r="M864" s="24"/>
      <c r="O864" s="24"/>
      <c r="P864" s="25" t="str">
        <f t="shared" si="13"/>
        <v/>
      </c>
    </row>
    <row r="865" spans="11:16" ht="15" customHeight="1" x14ac:dyDescent="0.2">
      <c r="K865" s="24"/>
      <c r="L865" s="24"/>
      <c r="M865" s="24"/>
      <c r="O865" s="24"/>
      <c r="P865" s="25" t="str">
        <f t="shared" si="13"/>
        <v/>
      </c>
    </row>
    <row r="866" spans="11:16" ht="15" customHeight="1" x14ac:dyDescent="0.2">
      <c r="K866" s="24"/>
      <c r="L866" s="24"/>
      <c r="M866" s="24"/>
      <c r="O866" s="24"/>
      <c r="P866" s="25" t="str">
        <f t="shared" si="13"/>
        <v/>
      </c>
    </row>
    <row r="867" spans="11:16" ht="15" customHeight="1" x14ac:dyDescent="0.2">
      <c r="K867" s="24"/>
      <c r="L867" s="24"/>
      <c r="M867" s="24"/>
      <c r="O867" s="24"/>
      <c r="P867" s="25" t="str">
        <f t="shared" si="13"/>
        <v/>
      </c>
    </row>
    <row r="868" spans="11:16" ht="15" customHeight="1" x14ac:dyDescent="0.2">
      <c r="K868" s="24"/>
      <c r="L868" s="24"/>
      <c r="M868" s="24"/>
      <c r="O868" s="24"/>
      <c r="P868" s="25" t="str">
        <f t="shared" si="13"/>
        <v/>
      </c>
    </row>
    <row r="869" spans="11:16" ht="15" customHeight="1" x14ac:dyDescent="0.2">
      <c r="K869" s="24"/>
      <c r="L869" s="24"/>
      <c r="M869" s="24"/>
      <c r="O869" s="24"/>
      <c r="P869" s="25" t="str">
        <f t="shared" si="13"/>
        <v/>
      </c>
    </row>
    <row r="870" spans="11:16" ht="15" customHeight="1" x14ac:dyDescent="0.2">
      <c r="K870" s="24"/>
      <c r="L870" s="24"/>
      <c r="M870" s="24"/>
      <c r="O870" s="24"/>
      <c r="P870" s="25" t="str">
        <f t="shared" si="13"/>
        <v/>
      </c>
    </row>
    <row r="871" spans="11:16" ht="15" customHeight="1" x14ac:dyDescent="0.2">
      <c r="K871" s="24"/>
      <c r="L871" s="24"/>
      <c r="M871" s="24"/>
      <c r="O871" s="24"/>
      <c r="P871" s="25" t="str">
        <f t="shared" si="13"/>
        <v/>
      </c>
    </row>
    <row r="872" spans="11:16" ht="15" customHeight="1" x14ac:dyDescent="0.2">
      <c r="K872" s="24"/>
      <c r="L872" s="24"/>
      <c r="M872" s="24"/>
      <c r="O872" s="24"/>
      <c r="P872" s="25" t="str">
        <f t="shared" si="13"/>
        <v/>
      </c>
    </row>
    <row r="873" spans="11:16" ht="15" customHeight="1" x14ac:dyDescent="0.2">
      <c r="K873" s="24"/>
      <c r="L873" s="24"/>
      <c r="M873" s="24"/>
      <c r="O873" s="24"/>
      <c r="P873" s="25" t="str">
        <f t="shared" si="13"/>
        <v/>
      </c>
    </row>
    <row r="874" spans="11:16" ht="15" customHeight="1" x14ac:dyDescent="0.2">
      <c r="K874" s="24"/>
      <c r="L874" s="24"/>
      <c r="M874" s="24"/>
      <c r="O874" s="24"/>
      <c r="P874" s="25" t="str">
        <f t="shared" si="13"/>
        <v/>
      </c>
    </row>
    <row r="875" spans="11:16" ht="15" customHeight="1" x14ac:dyDescent="0.2">
      <c r="K875" s="24"/>
      <c r="L875" s="24"/>
      <c r="M875" s="24"/>
      <c r="O875" s="24"/>
      <c r="P875" s="25" t="str">
        <f t="shared" si="13"/>
        <v/>
      </c>
    </row>
    <row r="876" spans="11:16" ht="15" customHeight="1" x14ac:dyDescent="0.2">
      <c r="K876" s="24"/>
      <c r="L876" s="24"/>
      <c r="M876" s="24"/>
      <c r="O876" s="24"/>
      <c r="P876" s="25" t="str">
        <f t="shared" si="13"/>
        <v/>
      </c>
    </row>
    <row r="877" spans="11:16" ht="15" customHeight="1" x14ac:dyDescent="0.2">
      <c r="K877" s="24"/>
      <c r="L877" s="24"/>
      <c r="M877" s="24"/>
      <c r="O877" s="24"/>
      <c r="P877" s="25" t="str">
        <f t="shared" si="13"/>
        <v/>
      </c>
    </row>
    <row r="878" spans="11:16" ht="15" customHeight="1" x14ac:dyDescent="0.2">
      <c r="K878" s="24"/>
      <c r="L878" s="24"/>
      <c r="M878" s="24"/>
      <c r="O878" s="24"/>
      <c r="P878" s="25" t="str">
        <f t="shared" si="13"/>
        <v/>
      </c>
    </row>
    <row r="879" spans="11:16" ht="15" customHeight="1" x14ac:dyDescent="0.2">
      <c r="K879" s="24"/>
      <c r="L879" s="24"/>
      <c r="M879" s="24"/>
      <c r="O879" s="24"/>
      <c r="P879" s="25" t="str">
        <f t="shared" si="13"/>
        <v/>
      </c>
    </row>
    <row r="880" spans="11:16" ht="15" customHeight="1" x14ac:dyDescent="0.2">
      <c r="K880" s="24"/>
      <c r="L880" s="24"/>
      <c r="M880" s="24"/>
      <c r="O880" s="24"/>
      <c r="P880" s="25" t="str">
        <f t="shared" si="13"/>
        <v/>
      </c>
    </row>
    <row r="881" spans="11:16" ht="15" customHeight="1" x14ac:dyDescent="0.2">
      <c r="K881" s="24"/>
      <c r="L881" s="24"/>
      <c r="M881" s="24"/>
      <c r="O881" s="24"/>
      <c r="P881" s="25" t="str">
        <f t="shared" si="13"/>
        <v/>
      </c>
    </row>
    <row r="882" spans="11:16" ht="15" customHeight="1" x14ac:dyDescent="0.2">
      <c r="K882" s="24"/>
      <c r="L882" s="24"/>
      <c r="M882" s="24"/>
      <c r="O882" s="24"/>
      <c r="P882" s="25" t="str">
        <f t="shared" si="13"/>
        <v/>
      </c>
    </row>
    <row r="883" spans="11:16" ht="15" customHeight="1" x14ac:dyDescent="0.2">
      <c r="K883" s="24"/>
      <c r="L883" s="24"/>
      <c r="M883" s="24"/>
      <c r="O883" s="24"/>
      <c r="P883" s="25" t="str">
        <f t="shared" si="13"/>
        <v/>
      </c>
    </row>
    <row r="884" spans="11:16" ht="15" customHeight="1" x14ac:dyDescent="0.2">
      <c r="K884" s="24"/>
      <c r="L884" s="24"/>
      <c r="M884" s="24"/>
      <c r="O884" s="24"/>
      <c r="P884" s="25" t="str">
        <f t="shared" si="13"/>
        <v/>
      </c>
    </row>
    <row r="885" spans="11:16" ht="15" customHeight="1" x14ac:dyDescent="0.2">
      <c r="K885" s="24"/>
      <c r="L885" s="24"/>
      <c r="M885" s="24"/>
      <c r="O885" s="24"/>
      <c r="P885" s="25" t="str">
        <f t="shared" si="13"/>
        <v/>
      </c>
    </row>
    <row r="886" spans="11:16" ht="15" customHeight="1" x14ac:dyDescent="0.2">
      <c r="K886" s="24"/>
      <c r="L886" s="24"/>
      <c r="M886" s="24"/>
      <c r="O886" s="24"/>
      <c r="P886" s="25" t="str">
        <f t="shared" si="13"/>
        <v/>
      </c>
    </row>
    <row r="887" spans="11:16" ht="15" customHeight="1" x14ac:dyDescent="0.2">
      <c r="K887" s="24"/>
      <c r="L887" s="24"/>
      <c r="M887" s="24"/>
      <c r="O887" s="24"/>
      <c r="P887" s="25" t="str">
        <f t="shared" si="13"/>
        <v/>
      </c>
    </row>
    <row r="888" spans="11:16" ht="15" customHeight="1" x14ac:dyDescent="0.2">
      <c r="K888" s="24"/>
      <c r="L888" s="24"/>
      <c r="M888" s="24"/>
      <c r="O888" s="24"/>
      <c r="P888" s="25" t="str">
        <f t="shared" si="13"/>
        <v/>
      </c>
    </row>
    <row r="889" spans="11:16" ht="15" customHeight="1" x14ac:dyDescent="0.2">
      <c r="K889" s="24"/>
      <c r="L889" s="24"/>
      <c r="M889" s="24"/>
      <c r="O889" s="24"/>
      <c r="P889" s="25" t="str">
        <f t="shared" si="13"/>
        <v/>
      </c>
    </row>
    <row r="890" spans="11:16" ht="15" customHeight="1" x14ac:dyDescent="0.2">
      <c r="K890" s="24"/>
      <c r="L890" s="24"/>
      <c r="M890" s="24"/>
      <c r="O890" s="24"/>
      <c r="P890" s="25" t="str">
        <f t="shared" si="13"/>
        <v/>
      </c>
    </row>
    <row r="891" spans="11:16" ht="15" customHeight="1" x14ac:dyDescent="0.2">
      <c r="K891" s="24"/>
      <c r="L891" s="24"/>
      <c r="M891" s="24"/>
      <c r="O891" s="24"/>
      <c r="P891" s="25" t="str">
        <f t="shared" si="13"/>
        <v/>
      </c>
    </row>
    <row r="892" spans="11:16" ht="15" customHeight="1" x14ac:dyDescent="0.2">
      <c r="K892" s="24"/>
      <c r="L892" s="24"/>
      <c r="M892" s="24"/>
      <c r="O892" s="24"/>
      <c r="P892" s="25" t="str">
        <f t="shared" si="13"/>
        <v/>
      </c>
    </row>
    <row r="893" spans="11:16" ht="15" customHeight="1" x14ac:dyDescent="0.2">
      <c r="K893" s="24"/>
      <c r="L893" s="24"/>
      <c r="M893" s="24"/>
      <c r="O893" s="24"/>
      <c r="P893" s="25" t="str">
        <f t="shared" si="13"/>
        <v/>
      </c>
    </row>
    <row r="894" spans="11:16" ht="15" customHeight="1" x14ac:dyDescent="0.2">
      <c r="K894" s="24"/>
      <c r="L894" s="24"/>
      <c r="M894" s="24"/>
      <c r="O894" s="24"/>
      <c r="P894" s="25" t="str">
        <f t="shared" si="13"/>
        <v/>
      </c>
    </row>
    <row r="895" spans="11:16" ht="15" customHeight="1" x14ac:dyDescent="0.2">
      <c r="K895" s="24"/>
      <c r="L895" s="24"/>
      <c r="M895" s="24"/>
      <c r="O895" s="24"/>
      <c r="P895" s="25" t="str">
        <f t="shared" si="13"/>
        <v/>
      </c>
    </row>
    <row r="896" spans="11:16" ht="15" customHeight="1" x14ac:dyDescent="0.2">
      <c r="K896" s="24"/>
      <c r="L896" s="24"/>
      <c r="M896" s="24"/>
      <c r="O896" s="24"/>
      <c r="P896" s="25" t="str">
        <f t="shared" si="13"/>
        <v/>
      </c>
    </row>
    <row r="897" spans="11:16" ht="15" customHeight="1" x14ac:dyDescent="0.2">
      <c r="K897" s="24"/>
      <c r="L897" s="24"/>
      <c r="M897" s="24"/>
      <c r="O897" s="24"/>
      <c r="P897" s="25" t="str">
        <f t="shared" si="13"/>
        <v/>
      </c>
    </row>
    <row r="898" spans="11:16" ht="15" customHeight="1" x14ac:dyDescent="0.2">
      <c r="K898" s="24"/>
      <c r="L898" s="24"/>
      <c r="M898" s="24"/>
      <c r="O898" s="24"/>
      <c r="P898" s="25" t="str">
        <f t="shared" si="13"/>
        <v/>
      </c>
    </row>
    <row r="899" spans="11:16" ht="15" customHeight="1" x14ac:dyDescent="0.2">
      <c r="K899" s="24"/>
      <c r="L899" s="24"/>
      <c r="M899" s="24"/>
      <c r="O899" s="24"/>
      <c r="P899" s="25" t="str">
        <f t="shared" si="13"/>
        <v/>
      </c>
    </row>
    <row r="900" spans="11:16" ht="15" customHeight="1" x14ac:dyDescent="0.2">
      <c r="K900" s="24"/>
      <c r="L900" s="24"/>
      <c r="M900" s="24"/>
      <c r="O900" s="24"/>
      <c r="P900" s="25" t="str">
        <f t="shared" si="13"/>
        <v/>
      </c>
    </row>
    <row r="901" spans="11:16" ht="15" customHeight="1" x14ac:dyDescent="0.2">
      <c r="K901" s="24"/>
      <c r="L901" s="24"/>
      <c r="M901" s="24"/>
      <c r="O901" s="24"/>
      <c r="P901" s="25" t="str">
        <f t="shared" ref="P901:P964" si="14">IF(A901="","",COUNTIF(E901:I901,"Yes"))</f>
        <v/>
      </c>
    </row>
    <row r="902" spans="11:16" ht="15" customHeight="1" x14ac:dyDescent="0.2">
      <c r="K902" s="24"/>
      <c r="L902" s="24"/>
      <c r="M902" s="24"/>
      <c r="O902" s="24"/>
      <c r="P902" s="25" t="str">
        <f t="shared" si="14"/>
        <v/>
      </c>
    </row>
    <row r="903" spans="11:16" ht="15" customHeight="1" x14ac:dyDescent="0.2">
      <c r="K903" s="24"/>
      <c r="L903" s="24"/>
      <c r="M903" s="24"/>
      <c r="O903" s="24"/>
      <c r="P903" s="25" t="str">
        <f t="shared" si="14"/>
        <v/>
      </c>
    </row>
    <row r="904" spans="11:16" ht="15" customHeight="1" x14ac:dyDescent="0.2">
      <c r="K904" s="24"/>
      <c r="L904" s="24"/>
      <c r="M904" s="24"/>
      <c r="O904" s="24"/>
      <c r="P904" s="25" t="str">
        <f t="shared" si="14"/>
        <v/>
      </c>
    </row>
    <row r="905" spans="11:16" ht="15" customHeight="1" x14ac:dyDescent="0.2">
      <c r="K905" s="24"/>
      <c r="L905" s="24"/>
      <c r="M905" s="24"/>
      <c r="O905" s="24"/>
      <c r="P905" s="25" t="str">
        <f t="shared" si="14"/>
        <v/>
      </c>
    </row>
    <row r="906" spans="11:16" ht="15" customHeight="1" x14ac:dyDescent="0.2">
      <c r="K906" s="24"/>
      <c r="L906" s="24"/>
      <c r="M906" s="24"/>
      <c r="O906" s="24"/>
      <c r="P906" s="25" t="str">
        <f t="shared" si="14"/>
        <v/>
      </c>
    </row>
    <row r="907" spans="11:16" ht="15" customHeight="1" x14ac:dyDescent="0.2">
      <c r="K907" s="24"/>
      <c r="L907" s="24"/>
      <c r="M907" s="24"/>
      <c r="O907" s="24"/>
      <c r="P907" s="25" t="str">
        <f t="shared" si="14"/>
        <v/>
      </c>
    </row>
    <row r="908" spans="11:16" ht="15" customHeight="1" x14ac:dyDescent="0.2">
      <c r="K908" s="24"/>
      <c r="L908" s="24"/>
      <c r="M908" s="24"/>
      <c r="O908" s="24"/>
      <c r="P908" s="25" t="str">
        <f t="shared" si="14"/>
        <v/>
      </c>
    </row>
    <row r="909" spans="11:16" ht="15" customHeight="1" x14ac:dyDescent="0.2">
      <c r="K909" s="24"/>
      <c r="L909" s="24"/>
      <c r="M909" s="24"/>
      <c r="O909" s="24"/>
      <c r="P909" s="25" t="str">
        <f t="shared" si="14"/>
        <v/>
      </c>
    </row>
    <row r="910" spans="11:16" ht="15" customHeight="1" x14ac:dyDescent="0.2">
      <c r="K910" s="24"/>
      <c r="L910" s="24"/>
      <c r="M910" s="24"/>
      <c r="O910" s="24"/>
      <c r="P910" s="25" t="str">
        <f t="shared" si="14"/>
        <v/>
      </c>
    </row>
    <row r="911" spans="11:16" ht="15" customHeight="1" x14ac:dyDescent="0.2">
      <c r="K911" s="24"/>
      <c r="L911" s="24"/>
      <c r="M911" s="24"/>
      <c r="O911" s="24"/>
      <c r="P911" s="25" t="str">
        <f t="shared" si="14"/>
        <v/>
      </c>
    </row>
    <row r="912" spans="11:16" ht="15" customHeight="1" x14ac:dyDescent="0.2">
      <c r="K912" s="24"/>
      <c r="L912" s="24"/>
      <c r="M912" s="24"/>
      <c r="O912" s="24"/>
      <c r="P912" s="25" t="str">
        <f t="shared" si="14"/>
        <v/>
      </c>
    </row>
    <row r="913" spans="11:16" ht="15" customHeight="1" x14ac:dyDescent="0.2">
      <c r="K913" s="24"/>
      <c r="L913" s="24"/>
      <c r="M913" s="24"/>
      <c r="O913" s="24"/>
      <c r="P913" s="25" t="str">
        <f t="shared" si="14"/>
        <v/>
      </c>
    </row>
    <row r="914" spans="11:16" ht="15" customHeight="1" x14ac:dyDescent="0.2">
      <c r="K914" s="24"/>
      <c r="L914" s="24"/>
      <c r="M914" s="24"/>
      <c r="O914" s="24"/>
      <c r="P914" s="25" t="str">
        <f t="shared" si="14"/>
        <v/>
      </c>
    </row>
    <row r="915" spans="11:16" ht="15" customHeight="1" x14ac:dyDescent="0.2">
      <c r="K915" s="24"/>
      <c r="L915" s="24"/>
      <c r="M915" s="24"/>
      <c r="O915" s="24"/>
      <c r="P915" s="25" t="str">
        <f t="shared" si="14"/>
        <v/>
      </c>
    </row>
    <row r="916" spans="11:16" ht="15" customHeight="1" x14ac:dyDescent="0.2">
      <c r="K916" s="24"/>
      <c r="L916" s="24"/>
      <c r="M916" s="24"/>
      <c r="O916" s="24"/>
      <c r="P916" s="25" t="str">
        <f t="shared" si="14"/>
        <v/>
      </c>
    </row>
    <row r="917" spans="11:16" ht="15" customHeight="1" x14ac:dyDescent="0.2">
      <c r="K917" s="24"/>
      <c r="L917" s="24"/>
      <c r="M917" s="24"/>
      <c r="O917" s="24"/>
      <c r="P917" s="25" t="str">
        <f t="shared" si="14"/>
        <v/>
      </c>
    </row>
    <row r="918" spans="11:16" ht="15" customHeight="1" x14ac:dyDescent="0.2">
      <c r="K918" s="24"/>
      <c r="L918" s="24"/>
      <c r="M918" s="24"/>
      <c r="O918" s="24"/>
      <c r="P918" s="25" t="str">
        <f t="shared" si="14"/>
        <v/>
      </c>
    </row>
    <row r="919" spans="11:16" ht="15" customHeight="1" x14ac:dyDescent="0.2">
      <c r="K919" s="24"/>
      <c r="L919" s="24"/>
      <c r="M919" s="24"/>
      <c r="O919" s="24"/>
      <c r="P919" s="25" t="str">
        <f t="shared" si="14"/>
        <v/>
      </c>
    </row>
    <row r="920" spans="11:16" ht="15" customHeight="1" x14ac:dyDescent="0.2">
      <c r="K920" s="24"/>
      <c r="L920" s="24"/>
      <c r="M920" s="24"/>
      <c r="O920" s="24"/>
      <c r="P920" s="25" t="str">
        <f t="shared" si="14"/>
        <v/>
      </c>
    </row>
    <row r="921" spans="11:16" ht="15" customHeight="1" x14ac:dyDescent="0.2">
      <c r="K921" s="24"/>
      <c r="L921" s="24"/>
      <c r="M921" s="24"/>
      <c r="O921" s="24"/>
      <c r="P921" s="25" t="str">
        <f t="shared" si="14"/>
        <v/>
      </c>
    </row>
    <row r="922" spans="11:16" ht="15" customHeight="1" x14ac:dyDescent="0.2">
      <c r="K922" s="24"/>
      <c r="L922" s="24"/>
      <c r="M922" s="24"/>
      <c r="O922" s="24"/>
      <c r="P922" s="25" t="str">
        <f t="shared" si="14"/>
        <v/>
      </c>
    </row>
    <row r="923" spans="11:16" ht="15" customHeight="1" x14ac:dyDescent="0.2">
      <c r="K923" s="24"/>
      <c r="L923" s="24"/>
      <c r="M923" s="24"/>
      <c r="O923" s="24"/>
      <c r="P923" s="25" t="str">
        <f t="shared" si="14"/>
        <v/>
      </c>
    </row>
    <row r="924" spans="11:16" ht="15" customHeight="1" x14ac:dyDescent="0.2">
      <c r="K924" s="24"/>
      <c r="L924" s="24"/>
      <c r="M924" s="24"/>
      <c r="O924" s="24"/>
      <c r="P924" s="25" t="str">
        <f t="shared" si="14"/>
        <v/>
      </c>
    </row>
    <row r="925" spans="11:16" ht="15" customHeight="1" x14ac:dyDescent="0.2">
      <c r="K925" s="24"/>
      <c r="L925" s="24"/>
      <c r="M925" s="24"/>
      <c r="O925" s="24"/>
      <c r="P925" s="25" t="str">
        <f t="shared" si="14"/>
        <v/>
      </c>
    </row>
    <row r="926" spans="11:16" ht="15" customHeight="1" x14ac:dyDescent="0.2">
      <c r="K926" s="24"/>
      <c r="L926" s="24"/>
      <c r="M926" s="24"/>
      <c r="O926" s="24"/>
      <c r="P926" s="25" t="str">
        <f t="shared" si="14"/>
        <v/>
      </c>
    </row>
    <row r="927" spans="11:16" ht="15" customHeight="1" x14ac:dyDescent="0.2">
      <c r="K927" s="24"/>
      <c r="L927" s="24"/>
      <c r="M927" s="24"/>
      <c r="O927" s="24"/>
      <c r="P927" s="25" t="str">
        <f t="shared" si="14"/>
        <v/>
      </c>
    </row>
    <row r="928" spans="11:16" ht="15" customHeight="1" x14ac:dyDescent="0.2">
      <c r="K928" s="24"/>
      <c r="L928" s="24"/>
      <c r="M928" s="24"/>
      <c r="O928" s="24"/>
      <c r="P928" s="25" t="str">
        <f t="shared" si="14"/>
        <v/>
      </c>
    </row>
    <row r="929" spans="11:16" ht="15" customHeight="1" x14ac:dyDescent="0.2">
      <c r="K929" s="24"/>
      <c r="L929" s="24"/>
      <c r="M929" s="24"/>
      <c r="O929" s="24"/>
      <c r="P929" s="25" t="str">
        <f t="shared" si="14"/>
        <v/>
      </c>
    </row>
    <row r="930" spans="11:16" ht="15" customHeight="1" x14ac:dyDescent="0.2">
      <c r="K930" s="24"/>
      <c r="L930" s="24"/>
      <c r="M930" s="24"/>
      <c r="O930" s="24"/>
      <c r="P930" s="25" t="str">
        <f t="shared" si="14"/>
        <v/>
      </c>
    </row>
    <row r="931" spans="11:16" ht="15" customHeight="1" x14ac:dyDescent="0.2">
      <c r="K931" s="24"/>
      <c r="L931" s="24"/>
      <c r="M931" s="24"/>
      <c r="O931" s="24"/>
      <c r="P931" s="25" t="str">
        <f t="shared" si="14"/>
        <v/>
      </c>
    </row>
    <row r="932" spans="11:16" ht="15" customHeight="1" x14ac:dyDescent="0.2">
      <c r="K932" s="24"/>
      <c r="L932" s="24"/>
      <c r="M932" s="24"/>
      <c r="O932" s="24"/>
      <c r="P932" s="25" t="str">
        <f t="shared" si="14"/>
        <v/>
      </c>
    </row>
    <row r="933" spans="11:16" ht="15" customHeight="1" x14ac:dyDescent="0.2">
      <c r="K933" s="24"/>
      <c r="L933" s="24"/>
      <c r="M933" s="24"/>
      <c r="O933" s="24"/>
      <c r="P933" s="25" t="str">
        <f t="shared" si="14"/>
        <v/>
      </c>
    </row>
    <row r="934" spans="11:16" ht="15" customHeight="1" x14ac:dyDescent="0.2">
      <c r="K934" s="24"/>
      <c r="L934" s="24"/>
      <c r="M934" s="24"/>
      <c r="O934" s="24"/>
      <c r="P934" s="25" t="str">
        <f t="shared" si="14"/>
        <v/>
      </c>
    </row>
    <row r="935" spans="11:16" ht="15" customHeight="1" x14ac:dyDescent="0.2">
      <c r="K935" s="24"/>
      <c r="L935" s="24"/>
      <c r="M935" s="24"/>
      <c r="O935" s="24"/>
      <c r="P935" s="25" t="str">
        <f t="shared" si="14"/>
        <v/>
      </c>
    </row>
    <row r="936" spans="11:16" ht="15" customHeight="1" x14ac:dyDescent="0.2">
      <c r="K936" s="24"/>
      <c r="L936" s="24"/>
      <c r="M936" s="24"/>
      <c r="O936" s="24"/>
      <c r="P936" s="25" t="str">
        <f t="shared" si="14"/>
        <v/>
      </c>
    </row>
    <row r="937" spans="11:16" ht="15" customHeight="1" x14ac:dyDescent="0.2">
      <c r="K937" s="24"/>
      <c r="L937" s="24"/>
      <c r="M937" s="24"/>
      <c r="O937" s="24"/>
      <c r="P937" s="25" t="str">
        <f t="shared" si="14"/>
        <v/>
      </c>
    </row>
    <row r="938" spans="11:16" ht="15" customHeight="1" x14ac:dyDescent="0.2">
      <c r="K938" s="24"/>
      <c r="L938" s="24"/>
      <c r="M938" s="24"/>
      <c r="O938" s="24"/>
      <c r="P938" s="25" t="str">
        <f t="shared" si="14"/>
        <v/>
      </c>
    </row>
    <row r="939" spans="11:16" ht="15" customHeight="1" x14ac:dyDescent="0.2">
      <c r="K939" s="24"/>
      <c r="L939" s="24"/>
      <c r="M939" s="24"/>
      <c r="O939" s="24"/>
      <c r="P939" s="25" t="str">
        <f t="shared" si="14"/>
        <v/>
      </c>
    </row>
    <row r="940" spans="11:16" ht="15" customHeight="1" x14ac:dyDescent="0.2">
      <c r="K940" s="24"/>
      <c r="L940" s="24"/>
      <c r="M940" s="24"/>
      <c r="O940" s="24"/>
      <c r="P940" s="25" t="str">
        <f t="shared" si="14"/>
        <v/>
      </c>
    </row>
    <row r="941" spans="11:16" ht="15" customHeight="1" x14ac:dyDescent="0.2">
      <c r="K941" s="24"/>
      <c r="L941" s="24"/>
      <c r="M941" s="24"/>
      <c r="O941" s="24"/>
      <c r="P941" s="25" t="str">
        <f t="shared" si="14"/>
        <v/>
      </c>
    </row>
    <row r="942" spans="11:16" ht="15" customHeight="1" x14ac:dyDescent="0.2">
      <c r="K942" s="24"/>
      <c r="L942" s="24"/>
      <c r="M942" s="24"/>
      <c r="O942" s="24"/>
      <c r="P942" s="25" t="str">
        <f t="shared" si="14"/>
        <v/>
      </c>
    </row>
    <row r="943" spans="11:16" ht="15" customHeight="1" x14ac:dyDescent="0.2">
      <c r="K943" s="24"/>
      <c r="L943" s="24"/>
      <c r="M943" s="24"/>
      <c r="O943" s="24"/>
      <c r="P943" s="25" t="str">
        <f t="shared" si="14"/>
        <v/>
      </c>
    </row>
    <row r="944" spans="11:16" ht="15" customHeight="1" x14ac:dyDescent="0.2">
      <c r="K944" s="24"/>
      <c r="L944" s="24"/>
      <c r="M944" s="24"/>
      <c r="O944" s="24"/>
      <c r="P944" s="25" t="str">
        <f t="shared" si="14"/>
        <v/>
      </c>
    </row>
    <row r="945" spans="11:16" ht="15" customHeight="1" x14ac:dyDescent="0.2">
      <c r="K945" s="24"/>
      <c r="L945" s="24"/>
      <c r="M945" s="24"/>
      <c r="O945" s="24"/>
      <c r="P945" s="25" t="str">
        <f t="shared" si="14"/>
        <v/>
      </c>
    </row>
    <row r="946" spans="11:16" ht="15" customHeight="1" x14ac:dyDescent="0.2">
      <c r="K946" s="24"/>
      <c r="L946" s="24"/>
      <c r="M946" s="24"/>
      <c r="O946" s="24"/>
      <c r="P946" s="25" t="str">
        <f t="shared" si="14"/>
        <v/>
      </c>
    </row>
    <row r="947" spans="11:16" ht="15" customHeight="1" x14ac:dyDescent="0.2">
      <c r="K947" s="24"/>
      <c r="L947" s="24"/>
      <c r="M947" s="24"/>
      <c r="O947" s="24"/>
      <c r="P947" s="25" t="str">
        <f t="shared" si="14"/>
        <v/>
      </c>
    </row>
    <row r="948" spans="11:16" ht="15" customHeight="1" x14ac:dyDescent="0.2">
      <c r="K948" s="24"/>
      <c r="L948" s="24"/>
      <c r="M948" s="24"/>
      <c r="O948" s="24"/>
      <c r="P948" s="25" t="str">
        <f t="shared" si="14"/>
        <v/>
      </c>
    </row>
    <row r="949" spans="11:16" ht="15" customHeight="1" x14ac:dyDescent="0.2">
      <c r="K949" s="24"/>
      <c r="L949" s="24"/>
      <c r="M949" s="24"/>
      <c r="O949" s="24"/>
      <c r="P949" s="25" t="str">
        <f t="shared" si="14"/>
        <v/>
      </c>
    </row>
    <row r="950" spans="11:16" ht="15" customHeight="1" x14ac:dyDescent="0.2">
      <c r="K950" s="24"/>
      <c r="L950" s="24"/>
      <c r="M950" s="24"/>
      <c r="O950" s="24"/>
      <c r="P950" s="25" t="str">
        <f t="shared" si="14"/>
        <v/>
      </c>
    </row>
    <row r="951" spans="11:16" ht="15" customHeight="1" x14ac:dyDescent="0.2">
      <c r="K951" s="24"/>
      <c r="L951" s="24"/>
      <c r="M951" s="24"/>
      <c r="O951" s="24"/>
      <c r="P951" s="25" t="str">
        <f t="shared" si="14"/>
        <v/>
      </c>
    </row>
    <row r="952" spans="11:16" ht="15" customHeight="1" x14ac:dyDescent="0.2">
      <c r="K952" s="24"/>
      <c r="L952" s="24"/>
      <c r="M952" s="24"/>
      <c r="O952" s="24"/>
      <c r="P952" s="25" t="str">
        <f t="shared" si="14"/>
        <v/>
      </c>
    </row>
    <row r="953" spans="11:16" ht="15" customHeight="1" x14ac:dyDescent="0.2">
      <c r="K953" s="24"/>
      <c r="L953" s="24"/>
      <c r="M953" s="24"/>
      <c r="O953" s="24"/>
      <c r="P953" s="25" t="str">
        <f t="shared" si="14"/>
        <v/>
      </c>
    </row>
    <row r="954" spans="11:16" ht="15" customHeight="1" x14ac:dyDescent="0.2">
      <c r="K954" s="24"/>
      <c r="L954" s="24"/>
      <c r="M954" s="24"/>
      <c r="O954" s="24"/>
      <c r="P954" s="25" t="str">
        <f t="shared" si="14"/>
        <v/>
      </c>
    </row>
    <row r="955" spans="11:16" ht="15" customHeight="1" x14ac:dyDescent="0.2">
      <c r="K955" s="24"/>
      <c r="L955" s="24"/>
      <c r="M955" s="24"/>
      <c r="O955" s="24"/>
      <c r="P955" s="25" t="str">
        <f t="shared" si="14"/>
        <v/>
      </c>
    </row>
    <row r="956" spans="11:16" ht="15" customHeight="1" x14ac:dyDescent="0.2">
      <c r="K956" s="24"/>
      <c r="L956" s="24"/>
      <c r="M956" s="24"/>
      <c r="O956" s="24"/>
      <c r="P956" s="25" t="str">
        <f t="shared" si="14"/>
        <v/>
      </c>
    </row>
    <row r="957" spans="11:16" ht="15" customHeight="1" x14ac:dyDescent="0.2">
      <c r="K957" s="24"/>
      <c r="L957" s="24"/>
      <c r="M957" s="24"/>
      <c r="O957" s="24"/>
      <c r="P957" s="25" t="str">
        <f t="shared" si="14"/>
        <v/>
      </c>
    </row>
    <row r="958" spans="11:16" ht="15" customHeight="1" x14ac:dyDescent="0.2">
      <c r="K958" s="24"/>
      <c r="L958" s="24"/>
      <c r="M958" s="24"/>
      <c r="O958" s="24"/>
      <c r="P958" s="25" t="str">
        <f t="shared" si="14"/>
        <v/>
      </c>
    </row>
    <row r="959" spans="11:16" ht="15" customHeight="1" x14ac:dyDescent="0.2">
      <c r="K959" s="24"/>
      <c r="L959" s="24"/>
      <c r="M959" s="24"/>
      <c r="O959" s="24"/>
      <c r="P959" s="25" t="str">
        <f t="shared" si="14"/>
        <v/>
      </c>
    </row>
    <row r="960" spans="11:16" ht="15" customHeight="1" x14ac:dyDescent="0.2">
      <c r="K960" s="24"/>
      <c r="L960" s="24"/>
      <c r="M960" s="24"/>
      <c r="O960" s="24"/>
      <c r="P960" s="25" t="str">
        <f t="shared" si="14"/>
        <v/>
      </c>
    </row>
    <row r="961" spans="11:16" ht="15" customHeight="1" x14ac:dyDescent="0.2">
      <c r="K961" s="24"/>
      <c r="L961" s="24"/>
      <c r="M961" s="24"/>
      <c r="O961" s="24"/>
      <c r="P961" s="25" t="str">
        <f t="shared" si="14"/>
        <v/>
      </c>
    </row>
    <row r="962" spans="11:16" ht="15" customHeight="1" x14ac:dyDescent="0.2">
      <c r="K962" s="24"/>
      <c r="L962" s="24"/>
      <c r="M962" s="24"/>
      <c r="O962" s="24"/>
      <c r="P962" s="25" t="str">
        <f t="shared" si="14"/>
        <v/>
      </c>
    </row>
    <row r="963" spans="11:16" ht="15" customHeight="1" x14ac:dyDescent="0.2">
      <c r="K963" s="24"/>
      <c r="L963" s="24"/>
      <c r="M963" s="24"/>
      <c r="O963" s="24"/>
      <c r="P963" s="25" t="str">
        <f t="shared" si="14"/>
        <v/>
      </c>
    </row>
    <row r="964" spans="11:16" ht="15" customHeight="1" x14ac:dyDescent="0.2">
      <c r="K964" s="24"/>
      <c r="L964" s="24"/>
      <c r="M964" s="24"/>
      <c r="O964" s="24"/>
      <c r="P964" s="25" t="str">
        <f t="shared" si="14"/>
        <v/>
      </c>
    </row>
    <row r="965" spans="11:16" ht="15" customHeight="1" x14ac:dyDescent="0.2">
      <c r="K965" s="24"/>
      <c r="L965" s="24"/>
      <c r="M965" s="24"/>
      <c r="O965" s="24"/>
      <c r="P965" s="25" t="str">
        <f t="shared" ref="P965:P1004" si="15">IF(A965="","",COUNTIF(E965:I965,"Yes"))</f>
        <v/>
      </c>
    </row>
    <row r="966" spans="11:16" ht="15" customHeight="1" x14ac:dyDescent="0.2">
      <c r="K966" s="24"/>
      <c r="L966" s="24"/>
      <c r="M966" s="24"/>
      <c r="O966" s="24"/>
      <c r="P966" s="25" t="str">
        <f t="shared" si="15"/>
        <v/>
      </c>
    </row>
    <row r="967" spans="11:16" ht="15" customHeight="1" x14ac:dyDescent="0.2">
      <c r="K967" s="24"/>
      <c r="L967" s="24"/>
      <c r="M967" s="24"/>
      <c r="O967" s="24"/>
      <c r="P967" s="25" t="str">
        <f t="shared" si="15"/>
        <v/>
      </c>
    </row>
    <row r="968" spans="11:16" ht="15" customHeight="1" x14ac:dyDescent="0.2">
      <c r="K968" s="24"/>
      <c r="L968" s="24"/>
      <c r="M968" s="24"/>
      <c r="O968" s="24"/>
      <c r="P968" s="25" t="str">
        <f t="shared" si="15"/>
        <v/>
      </c>
    </row>
    <row r="969" spans="11:16" ht="15" customHeight="1" x14ac:dyDescent="0.2">
      <c r="K969" s="24"/>
      <c r="L969" s="24"/>
      <c r="M969" s="24"/>
      <c r="O969" s="24"/>
      <c r="P969" s="25" t="str">
        <f t="shared" si="15"/>
        <v/>
      </c>
    </row>
    <row r="970" spans="11:16" ht="15" customHeight="1" x14ac:dyDescent="0.2">
      <c r="K970" s="24"/>
      <c r="L970" s="24"/>
      <c r="M970" s="24"/>
      <c r="O970" s="24"/>
      <c r="P970" s="25" t="str">
        <f t="shared" si="15"/>
        <v/>
      </c>
    </row>
    <row r="971" spans="11:16" ht="15" customHeight="1" x14ac:dyDescent="0.2">
      <c r="K971" s="24"/>
      <c r="L971" s="24"/>
      <c r="M971" s="24"/>
      <c r="O971" s="24"/>
      <c r="P971" s="25" t="str">
        <f t="shared" si="15"/>
        <v/>
      </c>
    </row>
    <row r="972" spans="11:16" ht="15" customHeight="1" x14ac:dyDescent="0.2">
      <c r="K972" s="24"/>
      <c r="L972" s="24"/>
      <c r="M972" s="24"/>
      <c r="O972" s="24"/>
      <c r="P972" s="25" t="str">
        <f t="shared" si="15"/>
        <v/>
      </c>
    </row>
    <row r="973" spans="11:16" ht="15" customHeight="1" x14ac:dyDescent="0.2">
      <c r="K973" s="24"/>
      <c r="L973" s="24"/>
      <c r="M973" s="24"/>
      <c r="O973" s="24"/>
      <c r="P973" s="25" t="str">
        <f t="shared" si="15"/>
        <v/>
      </c>
    </row>
    <row r="974" spans="11:16" ht="15" customHeight="1" x14ac:dyDescent="0.2">
      <c r="K974" s="24"/>
      <c r="L974" s="24"/>
      <c r="M974" s="24"/>
      <c r="O974" s="24"/>
      <c r="P974" s="25" t="str">
        <f t="shared" si="15"/>
        <v/>
      </c>
    </row>
    <row r="975" spans="11:16" ht="15" customHeight="1" x14ac:dyDescent="0.2">
      <c r="K975" s="24"/>
      <c r="L975" s="24"/>
      <c r="M975" s="24"/>
      <c r="O975" s="24"/>
      <c r="P975" s="25" t="str">
        <f t="shared" si="15"/>
        <v/>
      </c>
    </row>
    <row r="976" spans="11:16" ht="15" customHeight="1" x14ac:dyDescent="0.2">
      <c r="K976" s="24"/>
      <c r="L976" s="24"/>
      <c r="M976" s="24"/>
      <c r="O976" s="24"/>
      <c r="P976" s="25" t="str">
        <f t="shared" si="15"/>
        <v/>
      </c>
    </row>
    <row r="977" spans="11:16" ht="15" customHeight="1" x14ac:dyDescent="0.2">
      <c r="K977" s="24"/>
      <c r="L977" s="24"/>
      <c r="M977" s="24"/>
      <c r="O977" s="24"/>
      <c r="P977" s="25" t="str">
        <f t="shared" si="15"/>
        <v/>
      </c>
    </row>
    <row r="978" spans="11:16" ht="15" customHeight="1" x14ac:dyDescent="0.2">
      <c r="K978" s="24"/>
      <c r="L978" s="24"/>
      <c r="M978" s="24"/>
      <c r="O978" s="24"/>
      <c r="P978" s="25" t="str">
        <f t="shared" si="15"/>
        <v/>
      </c>
    </row>
    <row r="979" spans="11:16" ht="15" customHeight="1" x14ac:dyDescent="0.2">
      <c r="K979" s="24"/>
      <c r="L979" s="24"/>
      <c r="M979" s="24"/>
      <c r="O979" s="24"/>
      <c r="P979" s="25" t="str">
        <f t="shared" si="15"/>
        <v/>
      </c>
    </row>
    <row r="980" spans="11:16" ht="15" customHeight="1" x14ac:dyDescent="0.2">
      <c r="K980" s="24"/>
      <c r="L980" s="24"/>
      <c r="M980" s="24"/>
      <c r="O980" s="24"/>
      <c r="P980" s="25" t="str">
        <f t="shared" si="15"/>
        <v/>
      </c>
    </row>
    <row r="981" spans="11:16" ht="15" customHeight="1" x14ac:dyDescent="0.2">
      <c r="K981" s="24"/>
      <c r="L981" s="24"/>
      <c r="M981" s="24"/>
      <c r="O981" s="24"/>
      <c r="P981" s="25" t="str">
        <f t="shared" si="15"/>
        <v/>
      </c>
    </row>
    <row r="982" spans="11:16" ht="15" customHeight="1" x14ac:dyDescent="0.2">
      <c r="K982" s="24"/>
      <c r="L982" s="24"/>
      <c r="M982" s="24"/>
      <c r="O982" s="24"/>
      <c r="P982" s="25" t="str">
        <f t="shared" si="15"/>
        <v/>
      </c>
    </row>
    <row r="983" spans="11:16" ht="15" customHeight="1" x14ac:dyDescent="0.2">
      <c r="K983" s="24"/>
      <c r="L983" s="24"/>
      <c r="M983" s="24"/>
      <c r="O983" s="24"/>
      <c r="P983" s="25" t="str">
        <f t="shared" si="15"/>
        <v/>
      </c>
    </row>
    <row r="984" spans="11:16" ht="15" customHeight="1" x14ac:dyDescent="0.2">
      <c r="K984" s="24"/>
      <c r="L984" s="24"/>
      <c r="M984" s="24"/>
      <c r="O984" s="24"/>
      <c r="P984" s="25" t="str">
        <f t="shared" si="15"/>
        <v/>
      </c>
    </row>
    <row r="985" spans="11:16" ht="15" customHeight="1" x14ac:dyDescent="0.2">
      <c r="K985" s="24"/>
      <c r="L985" s="24"/>
      <c r="M985" s="24"/>
      <c r="O985" s="24"/>
      <c r="P985" s="25" t="str">
        <f t="shared" si="15"/>
        <v/>
      </c>
    </row>
    <row r="986" spans="11:16" ht="15" customHeight="1" x14ac:dyDescent="0.2">
      <c r="K986" s="24"/>
      <c r="L986" s="24"/>
      <c r="M986" s="24"/>
      <c r="O986" s="24"/>
      <c r="P986" s="25" t="str">
        <f t="shared" si="15"/>
        <v/>
      </c>
    </row>
    <row r="987" spans="11:16" ht="15" customHeight="1" x14ac:dyDescent="0.2">
      <c r="K987" s="24"/>
      <c r="L987" s="24"/>
      <c r="M987" s="24"/>
      <c r="O987" s="24"/>
      <c r="P987" s="25" t="str">
        <f t="shared" si="15"/>
        <v/>
      </c>
    </row>
    <row r="988" spans="11:16" ht="15" customHeight="1" x14ac:dyDescent="0.2">
      <c r="K988" s="24"/>
      <c r="L988" s="24"/>
      <c r="M988" s="24"/>
      <c r="O988" s="24"/>
      <c r="P988" s="25" t="str">
        <f t="shared" si="15"/>
        <v/>
      </c>
    </row>
    <row r="989" spans="11:16" ht="15" customHeight="1" x14ac:dyDescent="0.2">
      <c r="K989" s="24"/>
      <c r="L989" s="24"/>
      <c r="M989" s="24"/>
      <c r="O989" s="24"/>
      <c r="P989" s="25" t="str">
        <f t="shared" si="15"/>
        <v/>
      </c>
    </row>
    <row r="990" spans="11:16" ht="15" customHeight="1" x14ac:dyDescent="0.2">
      <c r="K990" s="24"/>
      <c r="L990" s="24"/>
      <c r="M990" s="24"/>
      <c r="O990" s="24"/>
      <c r="P990" s="25" t="str">
        <f t="shared" si="15"/>
        <v/>
      </c>
    </row>
    <row r="991" spans="11:16" ht="15" customHeight="1" x14ac:dyDescent="0.2">
      <c r="K991" s="24"/>
      <c r="L991" s="24"/>
      <c r="M991" s="24"/>
      <c r="O991" s="24"/>
      <c r="P991" s="25" t="str">
        <f t="shared" si="15"/>
        <v/>
      </c>
    </row>
    <row r="992" spans="11:16" ht="15" customHeight="1" x14ac:dyDescent="0.2">
      <c r="K992" s="24"/>
      <c r="L992" s="24"/>
      <c r="M992" s="24"/>
      <c r="O992" s="24"/>
      <c r="P992" s="25" t="str">
        <f t="shared" si="15"/>
        <v/>
      </c>
    </row>
    <row r="993" spans="1:17" ht="15" customHeight="1" x14ac:dyDescent="0.2">
      <c r="K993" s="24"/>
      <c r="L993" s="24"/>
      <c r="M993" s="24"/>
      <c r="O993" s="24"/>
      <c r="P993" s="25" t="str">
        <f t="shared" si="15"/>
        <v/>
      </c>
    </row>
    <row r="994" spans="1:17" ht="15" customHeight="1" x14ac:dyDescent="0.2">
      <c r="K994" s="24"/>
      <c r="L994" s="24"/>
      <c r="M994" s="24"/>
      <c r="O994" s="24"/>
      <c r="P994" s="25" t="str">
        <f t="shared" si="15"/>
        <v/>
      </c>
    </row>
    <row r="995" spans="1:17" ht="15" customHeight="1" x14ac:dyDescent="0.2">
      <c r="K995" s="24"/>
      <c r="L995" s="24"/>
      <c r="M995" s="24"/>
      <c r="O995" s="24"/>
      <c r="P995" s="25" t="str">
        <f t="shared" si="15"/>
        <v/>
      </c>
    </row>
    <row r="996" spans="1:17" ht="15" customHeight="1" x14ac:dyDescent="0.2">
      <c r="K996" s="24"/>
      <c r="L996" s="24"/>
      <c r="M996" s="24"/>
      <c r="O996" s="24"/>
      <c r="P996" s="25" t="str">
        <f t="shared" si="15"/>
        <v/>
      </c>
    </row>
    <row r="997" spans="1:17" ht="15" customHeight="1" x14ac:dyDescent="0.2">
      <c r="K997" s="24"/>
      <c r="L997" s="24"/>
      <c r="M997" s="24"/>
      <c r="O997" s="24"/>
      <c r="P997" s="25" t="str">
        <f t="shared" si="15"/>
        <v/>
      </c>
    </row>
    <row r="998" spans="1:17" ht="15" customHeight="1" x14ac:dyDescent="0.2">
      <c r="K998" s="24"/>
      <c r="L998" s="24"/>
      <c r="M998" s="24"/>
      <c r="O998" s="24"/>
      <c r="P998" s="25" t="str">
        <f t="shared" si="15"/>
        <v/>
      </c>
    </row>
    <row r="999" spans="1:17" ht="15" customHeight="1" x14ac:dyDescent="0.2">
      <c r="K999" s="24"/>
      <c r="L999" s="24"/>
      <c r="M999" s="24"/>
      <c r="O999" s="24"/>
      <c r="P999" s="25" t="str">
        <f t="shared" si="15"/>
        <v/>
      </c>
    </row>
    <row r="1000" spans="1:17" ht="15" customHeight="1" x14ac:dyDescent="0.2">
      <c r="K1000" s="24"/>
      <c r="L1000" s="24"/>
      <c r="M1000" s="24"/>
      <c r="O1000" s="24"/>
      <c r="P1000" s="25" t="str">
        <f t="shared" si="15"/>
        <v/>
      </c>
    </row>
    <row r="1001" spans="1:17" ht="15" customHeight="1" x14ac:dyDescent="0.2">
      <c r="K1001" s="24"/>
      <c r="L1001" s="24"/>
      <c r="M1001" s="24"/>
      <c r="O1001" s="24"/>
      <c r="P1001" s="25" t="str">
        <f t="shared" si="15"/>
        <v/>
      </c>
    </row>
    <row r="1002" spans="1:17" ht="15" customHeight="1" x14ac:dyDescent="0.2">
      <c r="K1002" s="24"/>
      <c r="L1002" s="24"/>
      <c r="M1002" s="24"/>
      <c r="O1002" s="24"/>
      <c r="P1002" s="25" t="str">
        <f t="shared" si="15"/>
        <v/>
      </c>
    </row>
    <row r="1003" spans="1:17" ht="15" customHeight="1" x14ac:dyDescent="0.2">
      <c r="K1003" s="24"/>
      <c r="L1003" s="24"/>
      <c r="M1003" s="24"/>
      <c r="O1003" s="24"/>
      <c r="P1003" s="25" t="str">
        <f t="shared" si="15"/>
        <v/>
      </c>
    </row>
    <row r="1004" spans="1:17" ht="15" customHeight="1" x14ac:dyDescent="0.2">
      <c r="K1004" s="24"/>
      <c r="L1004" s="24"/>
      <c r="M1004" s="24"/>
      <c r="O1004" s="24"/>
      <c r="P1004" s="25" t="str">
        <f t="shared" si="15"/>
        <v/>
      </c>
    </row>
    <row r="1006" spans="1:17" ht="27.75" customHeight="1" x14ac:dyDescent="0.2">
      <c r="A1006" s="116" t="s">
        <v>214</v>
      </c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</row>
    <row r="1007" spans="1:17" ht="24" customHeight="1" x14ac:dyDescent="0.2">
      <c r="A1007" s="26" t="s">
        <v>28</v>
      </c>
      <c r="E1007" s="9" t="s">
        <v>144</v>
      </c>
      <c r="F1007" s="9" t="s">
        <v>215</v>
      </c>
      <c r="G1007" s="9" t="s">
        <v>132</v>
      </c>
      <c r="H1007" s="9" t="s">
        <v>216</v>
      </c>
      <c r="I1007" s="9" t="s">
        <v>217</v>
      </c>
    </row>
    <row r="1008" spans="1:17" ht="19.5" customHeight="1" x14ac:dyDescent="0.2">
      <c r="A1008" s="27" t="s">
        <v>218</v>
      </c>
      <c r="E1008" s="25">
        <f>COUNTIF(E5:E1004,"Yes")</f>
        <v>5</v>
      </c>
      <c r="F1008" s="28">
        <f>COUNTIF(E5:E1004,"Partial")</f>
        <v>0</v>
      </c>
      <c r="G1008" s="29">
        <f>COUNTIF(E5:E1004,"No")</f>
        <v>5</v>
      </c>
      <c r="H1008" s="29">
        <f>COUNTIF(E5:E1004,"N/A")</f>
        <v>0</v>
      </c>
      <c r="I1008" s="30">
        <f>IFERROR(E1008/(E1008+F1008+G1008),0)</f>
        <v>0.5</v>
      </c>
    </row>
    <row r="1009" spans="1:9" ht="19.5" customHeight="1" x14ac:dyDescent="0.2">
      <c r="A1009" s="5" t="s">
        <v>219</v>
      </c>
      <c r="E1009" s="25">
        <f>COUNTIF(F5:F1004,"Yes")</f>
        <v>3</v>
      </c>
      <c r="F1009" s="28">
        <f>COUNTIF(F5:F1004,"Partial")</f>
        <v>0</v>
      </c>
      <c r="G1009" s="31">
        <f>COUNTIF(F5:F1004,"No")</f>
        <v>7</v>
      </c>
      <c r="H1009" s="31">
        <f>COUNTIF(F5:F1004,"N/A")</f>
        <v>0</v>
      </c>
      <c r="I1009" s="30">
        <f>IFERROR(E1009/(E1009+F1009+G1009),0)</f>
        <v>0.3</v>
      </c>
    </row>
    <row r="1010" spans="1:9" ht="19.5" customHeight="1" x14ac:dyDescent="0.2">
      <c r="A1010" s="27" t="s">
        <v>220</v>
      </c>
      <c r="E1010" s="25">
        <f>COUNTIF(G5:G1004,"Yes")</f>
        <v>1</v>
      </c>
      <c r="F1010" s="28">
        <f>COUNTIF(G5:G1004,"Partial")</f>
        <v>0</v>
      </c>
      <c r="G1010" s="29">
        <f>COUNTIF(G5:G1004,"No")</f>
        <v>9</v>
      </c>
      <c r="H1010" s="29">
        <f>COUNTIF(G5:G1004,"N/A")</f>
        <v>0</v>
      </c>
      <c r="I1010" s="30">
        <f>IFERROR(E1010/(E1010+F1010+G1010),0)</f>
        <v>0.1</v>
      </c>
    </row>
    <row r="1011" spans="1:9" ht="19.5" customHeight="1" x14ac:dyDescent="0.2">
      <c r="A1011" s="5" t="s">
        <v>221</v>
      </c>
      <c r="E1011" s="25">
        <f>COUNTIF(H5:H1004,"Yes")</f>
        <v>6</v>
      </c>
      <c r="F1011" s="28">
        <f>COUNTIF(H5:H1004,"Partial")</f>
        <v>0</v>
      </c>
      <c r="G1011" s="31">
        <f>COUNTIF(H5:H1004,"No")</f>
        <v>4</v>
      </c>
      <c r="H1011" s="31">
        <f>COUNTIF(H5:H1004,"N/A")</f>
        <v>0</v>
      </c>
      <c r="I1011" s="30">
        <f>IFERROR(E1011/(E1011+F1011+G1011),0)</f>
        <v>0.6</v>
      </c>
    </row>
    <row r="1012" spans="1:9" ht="19.5" customHeight="1" x14ac:dyDescent="0.2">
      <c r="A1012" s="27" t="s">
        <v>222</v>
      </c>
      <c r="E1012" s="25">
        <f>COUNTIF(I5:I1004,"Yes")</f>
        <v>0</v>
      </c>
      <c r="F1012" s="28">
        <f>COUNTIF(I5:I1004,"Partial")</f>
        <v>0</v>
      </c>
      <c r="G1012" s="29">
        <f>COUNTIF(I5:I1004,"No")</f>
        <v>10</v>
      </c>
      <c r="H1012" s="29">
        <f>COUNTIF(I5:I1004,"N/A")</f>
        <v>0</v>
      </c>
      <c r="I1012" s="30">
        <f>IFERROR(E1012/(E1012+F1012+G1012),0)</f>
        <v>0</v>
      </c>
    </row>
  </sheetData>
  <mergeCells count="4">
    <mergeCell ref="A3:R3"/>
    <mergeCell ref="A1006:Q1006"/>
    <mergeCell ref="A2:R2"/>
    <mergeCell ref="A1:R1"/>
  </mergeCells>
  <dataValidations count="4">
    <dataValidation type="list" allowBlank="1" sqref="C5:C1004" xr:uid="{00000000-0002-0000-0200-000000000000}">
      <formula1>"Intake,3 Month Review,6 Month Review,Case Closure,Funder Review"</formula1>
      <formula2>0</formula2>
    </dataValidation>
    <dataValidation type="list" allowBlank="1" sqref="E5:I1004 O5:O1004" xr:uid="{00000000-0002-0000-0200-000001000000}">
      <formula1>"Yes,No"</formula1>
      <formula2>0</formula2>
    </dataValidation>
    <dataValidation type="list" allowBlank="1" sqref="J5:J1004" xr:uid="{00000000-0002-0000-0200-000002000000}">
      <formula1>"Year 1,Year 2,Year 3,Year 4,Year 5"</formula1>
      <formula2>0</formula2>
    </dataValidation>
    <dataValidation type="list" allowBlank="1" sqref="N5:N1004" xr:uid="{00000000-0002-0000-0200-000003000000}">
      <formula1>"Yes,No,Yes – no action taken,Unknown"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showGridLines="0" topLeftCell="A7" zoomScale="274" zoomScaleNormal="274" workbookViewId="0"/>
  </sheetViews>
  <sheetFormatPr baseColWidth="10" defaultColWidth="8.83203125" defaultRowHeight="15" customHeight="1" x14ac:dyDescent="0.2"/>
  <cols>
    <col min="1" max="1" width="13" customWidth="1"/>
    <col min="2" max="2" width="14" customWidth="1"/>
    <col min="3" max="4" width="16" customWidth="1"/>
    <col min="5" max="5" width="24" customWidth="1"/>
    <col min="6" max="6" width="20" customWidth="1"/>
    <col min="7" max="10" width="13" customWidth="1"/>
    <col min="11" max="11" width="20" customWidth="1"/>
    <col min="12" max="13" width="13" customWidth="1"/>
    <col min="14" max="14" width="15" customWidth="1"/>
    <col min="15" max="15" width="13" customWidth="1"/>
    <col min="16" max="16" width="24" customWidth="1"/>
  </cols>
  <sheetData>
    <row r="1" spans="1:16" ht="37.5" customHeight="1" x14ac:dyDescent="0.2">
      <c r="A1" s="114" t="s">
        <v>223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9.5" customHeight="1" x14ac:dyDescent="0.2">
      <c r="A2" s="112" t="s">
        <v>224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4" spans="1:16" ht="25.5" customHeight="1" x14ac:dyDescent="0.2">
      <c r="A4" s="124" t="s">
        <v>225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21.75" customHeight="1" x14ac:dyDescent="0.2">
      <c r="A5" s="32" t="s">
        <v>226</v>
      </c>
      <c r="E5" s="33" t="s">
        <v>227</v>
      </c>
      <c r="H5" s="33" t="s">
        <v>228</v>
      </c>
      <c r="K5" s="33" t="s">
        <v>121</v>
      </c>
      <c r="L5" s="33" t="s">
        <v>166</v>
      </c>
      <c r="M5" s="33" t="s">
        <v>229</v>
      </c>
      <c r="N5" s="33" t="s">
        <v>230</v>
      </c>
      <c r="O5" s="33" t="s">
        <v>231</v>
      </c>
    </row>
    <row r="6" spans="1:16" ht="18" customHeight="1" x14ac:dyDescent="0.2">
      <c r="A6" s="118" t="s">
        <v>160</v>
      </c>
      <c r="B6" s="73"/>
      <c r="C6" s="73"/>
      <c r="D6" s="73"/>
      <c r="E6" s="119">
        <f>COUNTIFS('📋 Client Intake'!H5:H1004,A6)</f>
        <v>1</v>
      </c>
      <c r="F6" s="73"/>
      <c r="G6" s="73"/>
      <c r="H6" s="117">
        <f>IFERROR(E6/SUM(E6:E22),0)</f>
        <v>0.2</v>
      </c>
      <c r="I6" s="73"/>
      <c r="J6" s="73"/>
      <c r="K6" s="35">
        <f>COUNTIFS('📋 Client Intake'!H5:H1004,A6,'📋 Client Intake'!AB5:AB1004,"Year 1")</f>
        <v>0</v>
      </c>
      <c r="L6" s="35">
        <f>COUNTIFS('📋 Client Intake'!H5:H1004,A6,'📋 Client Intake'!AB5:AB1004,"Year 2")</f>
        <v>1</v>
      </c>
      <c r="M6" s="35">
        <f>COUNTIFS('📋 Client Intake'!H5:H1004,A6,'📋 Client Intake'!AB5:AB1004,"Year 3")</f>
        <v>0</v>
      </c>
      <c r="N6" s="35">
        <f>COUNTIFS('📋 Client Intake'!H5:H1004,A6,'📋 Client Intake'!AB5:AB1004,"Year 4")</f>
        <v>0</v>
      </c>
      <c r="O6" s="35">
        <f>COUNTIFS('📋 Client Intake'!H5:H1004,A6,'📋 Client Intake'!AB5:AB1004,"Year 5")</f>
        <v>0</v>
      </c>
    </row>
    <row r="7" spans="1:16" ht="18" customHeight="1" x14ac:dyDescent="0.2">
      <c r="A7" s="121" t="s">
        <v>232</v>
      </c>
      <c r="B7" s="73"/>
      <c r="C7" s="73"/>
      <c r="D7" s="73"/>
      <c r="E7" s="122">
        <f>COUNTIFS('📋 Client Intake'!H5:H1004,A7)</f>
        <v>0</v>
      </c>
      <c r="F7" s="73"/>
      <c r="G7" s="73"/>
      <c r="H7" s="123">
        <f>IFERROR(E7/SUM(E6:E22),0)</f>
        <v>0</v>
      </c>
      <c r="I7" s="73"/>
      <c r="J7" s="73"/>
      <c r="K7" s="38">
        <f>COUNTIFS('📋 Client Intake'!H5:H1004,A7,'📋 Client Intake'!AB5:AB1004,"Year 1")</f>
        <v>0</v>
      </c>
      <c r="L7" s="38">
        <f>COUNTIFS('📋 Client Intake'!H5:H1004,A7,'📋 Client Intake'!AB5:AB1004,"Year 2")</f>
        <v>0</v>
      </c>
      <c r="M7" s="38">
        <f>COUNTIFS('📋 Client Intake'!H5:H1004,A7,'📋 Client Intake'!AB5:AB1004,"Year 3")</f>
        <v>0</v>
      </c>
      <c r="N7" s="38">
        <f>COUNTIFS('📋 Client Intake'!H5:H1004,A7,'📋 Client Intake'!AB5:AB1004,"Year 4")</f>
        <v>0</v>
      </c>
      <c r="O7" s="38">
        <f>COUNTIFS('📋 Client Intake'!H5:H1004,A7,'📋 Client Intake'!AB5:AB1004,"Year 5")</f>
        <v>0</v>
      </c>
    </row>
    <row r="8" spans="1:16" ht="18" customHeight="1" x14ac:dyDescent="0.2">
      <c r="A8" s="118" t="s">
        <v>233</v>
      </c>
      <c r="B8" s="73"/>
      <c r="C8" s="73"/>
      <c r="D8" s="73"/>
      <c r="E8" s="119">
        <f>COUNTIFS('📋 Client Intake'!H5:H1004,A8)</f>
        <v>0</v>
      </c>
      <c r="F8" s="73"/>
      <c r="G8" s="73"/>
      <c r="H8" s="117">
        <f>IFERROR(E8/SUM(E6:E22),0)</f>
        <v>0</v>
      </c>
      <c r="I8" s="73"/>
      <c r="J8" s="73"/>
      <c r="K8" s="35">
        <f>COUNTIFS('📋 Client Intake'!H5:H1004,A8,'📋 Client Intake'!AB5:AB1004,"Year 1")</f>
        <v>0</v>
      </c>
      <c r="L8" s="35">
        <f>COUNTIFS('📋 Client Intake'!H5:H1004,A8,'📋 Client Intake'!AB5:AB1004,"Year 2")</f>
        <v>0</v>
      </c>
      <c r="M8" s="35">
        <f>COUNTIFS('📋 Client Intake'!H5:H1004,A8,'📋 Client Intake'!AB5:AB1004,"Year 3")</f>
        <v>0</v>
      </c>
      <c r="N8" s="35">
        <f>COUNTIFS('📋 Client Intake'!H5:H1004,A8,'📋 Client Intake'!AB5:AB1004,"Year 4")</f>
        <v>0</v>
      </c>
      <c r="O8" s="35">
        <f>COUNTIFS('📋 Client Intake'!H5:H1004,A8,'📋 Client Intake'!AB5:AB1004,"Year 5")</f>
        <v>0</v>
      </c>
    </row>
    <row r="9" spans="1:16" ht="18" customHeight="1" x14ac:dyDescent="0.2">
      <c r="A9" s="121" t="s">
        <v>234</v>
      </c>
      <c r="B9" s="73"/>
      <c r="C9" s="73"/>
      <c r="D9" s="73"/>
      <c r="E9" s="122">
        <f>COUNTIFS('📋 Client Intake'!H5:H1004,A9)</f>
        <v>0</v>
      </c>
      <c r="F9" s="73"/>
      <c r="G9" s="73"/>
      <c r="H9" s="123">
        <f>IFERROR(E9/SUM(E6:E22),0)</f>
        <v>0</v>
      </c>
      <c r="I9" s="73"/>
      <c r="J9" s="73"/>
      <c r="K9" s="38">
        <f>COUNTIFS('📋 Client Intake'!H5:H1004,A9,'📋 Client Intake'!AB5:AB1004,"Year 1")</f>
        <v>0</v>
      </c>
      <c r="L9" s="38">
        <f>COUNTIFS('📋 Client Intake'!H5:H1004,A9,'📋 Client Intake'!AB5:AB1004,"Year 2")</f>
        <v>0</v>
      </c>
      <c r="M9" s="38">
        <f>COUNTIFS('📋 Client Intake'!H5:H1004,A9,'📋 Client Intake'!AB5:AB1004,"Year 3")</f>
        <v>0</v>
      </c>
      <c r="N9" s="38">
        <f>COUNTIFS('📋 Client Intake'!H5:H1004,A9,'📋 Client Intake'!AB5:AB1004,"Year 4")</f>
        <v>0</v>
      </c>
      <c r="O9" s="38">
        <f>COUNTIFS('📋 Client Intake'!H5:H1004,A9,'📋 Client Intake'!AB5:AB1004,"Year 5")</f>
        <v>0</v>
      </c>
    </row>
    <row r="10" spans="1:16" ht="18" customHeight="1" x14ac:dyDescent="0.2">
      <c r="A10" s="118" t="s">
        <v>235</v>
      </c>
      <c r="B10" s="73"/>
      <c r="C10" s="73"/>
      <c r="D10" s="73"/>
      <c r="E10" s="119">
        <f>COUNTIFS('📋 Client Intake'!H5:H1004,A10)</f>
        <v>0</v>
      </c>
      <c r="F10" s="73"/>
      <c r="G10" s="73"/>
      <c r="H10" s="117">
        <f>IFERROR(E10/SUM(E6:E22),0)</f>
        <v>0</v>
      </c>
      <c r="I10" s="73"/>
      <c r="J10" s="73"/>
      <c r="K10" s="35">
        <f>COUNTIFS('📋 Client Intake'!H5:H1004,A10,'📋 Client Intake'!AB5:AB1004,"Year 1")</f>
        <v>0</v>
      </c>
      <c r="L10" s="35">
        <f>COUNTIFS('📋 Client Intake'!H5:H1004,A10,'📋 Client Intake'!AB5:AB1004,"Year 2")</f>
        <v>0</v>
      </c>
      <c r="M10" s="35">
        <f>COUNTIFS('📋 Client Intake'!H5:H1004,A10,'📋 Client Intake'!AB5:AB1004,"Year 3")</f>
        <v>0</v>
      </c>
      <c r="N10" s="35">
        <f>COUNTIFS('📋 Client Intake'!H5:H1004,A10,'📋 Client Intake'!AB5:AB1004,"Year 4")</f>
        <v>0</v>
      </c>
      <c r="O10" s="35">
        <f>COUNTIFS('📋 Client Intake'!H5:H1004,A10,'📋 Client Intake'!AB5:AB1004,"Year 5")</f>
        <v>0</v>
      </c>
    </row>
    <row r="11" spans="1:16" ht="18" customHeight="1" x14ac:dyDescent="0.2">
      <c r="A11" s="121" t="s">
        <v>140</v>
      </c>
      <c r="B11" s="73"/>
      <c r="C11" s="73"/>
      <c r="D11" s="73"/>
      <c r="E11" s="122">
        <f>COUNTIFS('📋 Client Intake'!H5:H1004,A11)</f>
        <v>1</v>
      </c>
      <c r="F11" s="73"/>
      <c r="G11" s="73"/>
      <c r="H11" s="123">
        <f>IFERROR(E11/SUM(E6:E22),0)</f>
        <v>0.2</v>
      </c>
      <c r="I11" s="73"/>
      <c r="J11" s="73"/>
      <c r="K11" s="38">
        <f>COUNTIFS('📋 Client Intake'!H5:H1004,A11,'📋 Client Intake'!AB5:AB1004,"Year 1")</f>
        <v>1</v>
      </c>
      <c r="L11" s="38">
        <f>COUNTIFS('📋 Client Intake'!H5:H1004,A11,'📋 Client Intake'!AB5:AB1004,"Year 2")</f>
        <v>0</v>
      </c>
      <c r="M11" s="38">
        <f>COUNTIFS('📋 Client Intake'!H5:H1004,A11,'📋 Client Intake'!AB5:AB1004,"Year 3")</f>
        <v>0</v>
      </c>
      <c r="N11" s="38">
        <f>COUNTIFS('📋 Client Intake'!H5:H1004,A11,'📋 Client Intake'!AB5:AB1004,"Year 4")</f>
        <v>0</v>
      </c>
      <c r="O11" s="38">
        <f>COUNTIFS('📋 Client Intake'!H5:H1004,A11,'📋 Client Intake'!AB5:AB1004,"Year 5")</f>
        <v>0</v>
      </c>
    </row>
    <row r="12" spans="1:16" ht="18" customHeight="1" x14ac:dyDescent="0.2">
      <c r="A12" s="118" t="s">
        <v>236</v>
      </c>
      <c r="B12" s="73"/>
      <c r="C12" s="73"/>
      <c r="D12" s="73"/>
      <c r="E12" s="119">
        <f>COUNTIFS('📋 Client Intake'!H5:H1004,A12)</f>
        <v>0</v>
      </c>
      <c r="F12" s="73"/>
      <c r="G12" s="73"/>
      <c r="H12" s="117">
        <f>IFERROR(E12/SUM(E6:E22),0)</f>
        <v>0</v>
      </c>
      <c r="I12" s="73"/>
      <c r="J12" s="73"/>
      <c r="K12" s="35">
        <f>COUNTIFS('📋 Client Intake'!H5:H1004,A12,'📋 Client Intake'!AB5:AB1004,"Year 1")</f>
        <v>0</v>
      </c>
      <c r="L12" s="35">
        <f>COUNTIFS('📋 Client Intake'!H5:H1004,A12,'📋 Client Intake'!AB5:AB1004,"Year 2")</f>
        <v>0</v>
      </c>
      <c r="M12" s="35">
        <f>COUNTIFS('📋 Client Intake'!H5:H1004,A12,'📋 Client Intake'!AB5:AB1004,"Year 3")</f>
        <v>0</v>
      </c>
      <c r="N12" s="35">
        <f>COUNTIFS('📋 Client Intake'!H5:H1004,A12,'📋 Client Intake'!AB5:AB1004,"Year 4")</f>
        <v>0</v>
      </c>
      <c r="O12" s="35">
        <f>COUNTIFS('📋 Client Intake'!H5:H1004,A12,'📋 Client Intake'!AB5:AB1004,"Year 5")</f>
        <v>0</v>
      </c>
    </row>
    <row r="13" spans="1:16" ht="18" customHeight="1" x14ac:dyDescent="0.2">
      <c r="A13" s="121" t="s">
        <v>126</v>
      </c>
      <c r="B13" s="73"/>
      <c r="C13" s="73"/>
      <c r="D13" s="73"/>
      <c r="E13" s="122">
        <f>COUNTIFS('📋 Client Intake'!H5:H1004,A13)</f>
        <v>1</v>
      </c>
      <c r="F13" s="73"/>
      <c r="G13" s="73"/>
      <c r="H13" s="123">
        <f>IFERROR(E13/SUM(E6:E22),0)</f>
        <v>0.2</v>
      </c>
      <c r="I13" s="73"/>
      <c r="J13" s="73"/>
      <c r="K13" s="38">
        <f>COUNTIFS('📋 Client Intake'!H5:H1004,A13,'📋 Client Intake'!AB5:AB1004,"Year 1")</f>
        <v>1</v>
      </c>
      <c r="L13" s="38">
        <f>COUNTIFS('📋 Client Intake'!H5:H1004,A13,'📋 Client Intake'!AB5:AB1004,"Year 2")</f>
        <v>0</v>
      </c>
      <c r="M13" s="38">
        <f>COUNTIFS('📋 Client Intake'!H5:H1004,A13,'📋 Client Intake'!AB5:AB1004,"Year 3")</f>
        <v>0</v>
      </c>
      <c r="N13" s="38">
        <f>COUNTIFS('📋 Client Intake'!H5:H1004,A13,'📋 Client Intake'!AB5:AB1004,"Year 4")</f>
        <v>0</v>
      </c>
      <c r="O13" s="38">
        <f>COUNTIFS('📋 Client Intake'!H5:H1004,A13,'📋 Client Intake'!AB5:AB1004,"Year 5")</f>
        <v>0</v>
      </c>
    </row>
    <row r="14" spans="1:16" ht="18" customHeight="1" x14ac:dyDescent="0.2">
      <c r="A14" s="118" t="s">
        <v>237</v>
      </c>
      <c r="B14" s="73"/>
      <c r="C14" s="73"/>
      <c r="D14" s="73"/>
      <c r="E14" s="119">
        <f>COUNTIFS('📋 Client Intake'!H5:H1004,A14)</f>
        <v>0</v>
      </c>
      <c r="F14" s="73"/>
      <c r="G14" s="73"/>
      <c r="H14" s="117">
        <f>IFERROR(E14/SUM(E6:E22),0)</f>
        <v>0</v>
      </c>
      <c r="I14" s="73"/>
      <c r="J14" s="73"/>
      <c r="K14" s="35">
        <f>COUNTIFS('📋 Client Intake'!H5:H1004,A14,'📋 Client Intake'!AB5:AB1004,"Year 1")</f>
        <v>0</v>
      </c>
      <c r="L14" s="35">
        <f>COUNTIFS('📋 Client Intake'!H5:H1004,A14,'📋 Client Intake'!AB5:AB1004,"Year 2")</f>
        <v>0</v>
      </c>
      <c r="M14" s="35">
        <f>COUNTIFS('📋 Client Intake'!H5:H1004,A14,'📋 Client Intake'!AB5:AB1004,"Year 3")</f>
        <v>0</v>
      </c>
      <c r="N14" s="35">
        <f>COUNTIFS('📋 Client Intake'!H5:H1004,A14,'📋 Client Intake'!AB5:AB1004,"Year 4")</f>
        <v>0</v>
      </c>
      <c r="O14" s="35">
        <f>COUNTIFS('📋 Client Intake'!H5:H1004,A14,'📋 Client Intake'!AB5:AB1004,"Year 5")</f>
        <v>0</v>
      </c>
    </row>
    <row r="15" spans="1:16" ht="18" customHeight="1" x14ac:dyDescent="0.2">
      <c r="A15" s="121" t="s">
        <v>238</v>
      </c>
      <c r="B15" s="73"/>
      <c r="C15" s="73"/>
      <c r="D15" s="73"/>
      <c r="E15" s="122">
        <f>COUNTIFS('📋 Client Intake'!H5:H1004,A15)</f>
        <v>0</v>
      </c>
      <c r="F15" s="73"/>
      <c r="G15" s="73"/>
      <c r="H15" s="123">
        <f>IFERROR(E15/SUM(E6:E22),0)</f>
        <v>0</v>
      </c>
      <c r="I15" s="73"/>
      <c r="J15" s="73"/>
      <c r="K15" s="38">
        <f>COUNTIFS('📋 Client Intake'!H5:H1004,A15,'📋 Client Intake'!AB5:AB1004,"Year 1")</f>
        <v>0</v>
      </c>
      <c r="L15" s="38">
        <f>COUNTIFS('📋 Client Intake'!H5:H1004,A15,'📋 Client Intake'!AB5:AB1004,"Year 2")</f>
        <v>0</v>
      </c>
      <c r="M15" s="38">
        <f>COUNTIFS('📋 Client Intake'!H5:H1004,A15,'📋 Client Intake'!AB5:AB1004,"Year 3")</f>
        <v>0</v>
      </c>
      <c r="N15" s="38">
        <f>COUNTIFS('📋 Client Intake'!H5:H1004,A15,'📋 Client Intake'!AB5:AB1004,"Year 4")</f>
        <v>0</v>
      </c>
      <c r="O15" s="38">
        <f>COUNTIFS('📋 Client Intake'!H5:H1004,A15,'📋 Client Intake'!AB5:AB1004,"Year 5")</f>
        <v>0</v>
      </c>
    </row>
    <row r="16" spans="1:16" ht="18" customHeight="1" x14ac:dyDescent="0.2">
      <c r="A16" s="118" t="s">
        <v>239</v>
      </c>
      <c r="B16" s="73"/>
      <c r="C16" s="73"/>
      <c r="D16" s="73"/>
      <c r="E16" s="119">
        <f>COUNTIFS('📋 Client Intake'!H5:H1004,A16)</f>
        <v>0</v>
      </c>
      <c r="F16" s="73"/>
      <c r="G16" s="73"/>
      <c r="H16" s="117">
        <f>IFERROR(E16/SUM(E6:E22),0)</f>
        <v>0</v>
      </c>
      <c r="I16" s="73"/>
      <c r="J16" s="73"/>
      <c r="K16" s="35">
        <f>COUNTIFS('📋 Client Intake'!H5:H1004,A16,'📋 Client Intake'!AB5:AB1004,"Year 1")</f>
        <v>0</v>
      </c>
      <c r="L16" s="35">
        <f>COUNTIFS('📋 Client Intake'!H5:H1004,A16,'📋 Client Intake'!AB5:AB1004,"Year 2")</f>
        <v>0</v>
      </c>
      <c r="M16" s="35">
        <f>COUNTIFS('📋 Client Intake'!H5:H1004,A16,'📋 Client Intake'!AB5:AB1004,"Year 3")</f>
        <v>0</v>
      </c>
      <c r="N16" s="35">
        <f>COUNTIFS('📋 Client Intake'!H5:H1004,A16,'📋 Client Intake'!AB5:AB1004,"Year 4")</f>
        <v>0</v>
      </c>
      <c r="O16" s="35">
        <f>COUNTIFS('📋 Client Intake'!H5:H1004,A16,'📋 Client Intake'!AB5:AB1004,"Year 5")</f>
        <v>0</v>
      </c>
    </row>
    <row r="17" spans="1:16" ht="18" customHeight="1" x14ac:dyDescent="0.2">
      <c r="A17" s="121" t="s">
        <v>240</v>
      </c>
      <c r="B17" s="73"/>
      <c r="C17" s="73"/>
      <c r="D17" s="73"/>
      <c r="E17" s="122">
        <f>COUNTIFS('📋 Client Intake'!H5:H1004,A17)</f>
        <v>0</v>
      </c>
      <c r="F17" s="73"/>
      <c r="G17" s="73"/>
      <c r="H17" s="123">
        <f>IFERROR(E17/SUM(E6:E22),0)</f>
        <v>0</v>
      </c>
      <c r="I17" s="73"/>
      <c r="J17" s="73"/>
      <c r="K17" s="38">
        <f>COUNTIFS('📋 Client Intake'!H5:H1004,A17,'📋 Client Intake'!AB5:AB1004,"Year 1")</f>
        <v>0</v>
      </c>
      <c r="L17" s="38">
        <f>COUNTIFS('📋 Client Intake'!H5:H1004,A17,'📋 Client Intake'!AB5:AB1004,"Year 2")</f>
        <v>0</v>
      </c>
      <c r="M17" s="38">
        <f>COUNTIFS('📋 Client Intake'!H5:H1004,A17,'📋 Client Intake'!AB5:AB1004,"Year 3")</f>
        <v>0</v>
      </c>
      <c r="N17" s="38">
        <f>COUNTIFS('📋 Client Intake'!H5:H1004,A17,'📋 Client Intake'!AB5:AB1004,"Year 4")</f>
        <v>0</v>
      </c>
      <c r="O17" s="38">
        <f>COUNTIFS('📋 Client Intake'!H5:H1004,A17,'📋 Client Intake'!AB5:AB1004,"Year 5")</f>
        <v>0</v>
      </c>
    </row>
    <row r="18" spans="1:16" ht="18" customHeight="1" x14ac:dyDescent="0.2">
      <c r="A18" s="118" t="s">
        <v>241</v>
      </c>
      <c r="B18" s="73"/>
      <c r="C18" s="73"/>
      <c r="D18" s="73"/>
      <c r="E18" s="119">
        <f>COUNTIFS('📋 Client Intake'!H5:H1004,A18)</f>
        <v>0</v>
      </c>
      <c r="F18" s="73"/>
      <c r="G18" s="73"/>
      <c r="H18" s="117">
        <f>IFERROR(E18/SUM(E6:E22),0)</f>
        <v>0</v>
      </c>
      <c r="I18" s="73"/>
      <c r="J18" s="73"/>
      <c r="K18" s="35">
        <f>COUNTIFS('📋 Client Intake'!H5:H1004,A18,'📋 Client Intake'!AB5:AB1004,"Year 1")</f>
        <v>0</v>
      </c>
      <c r="L18" s="35">
        <f>COUNTIFS('📋 Client Intake'!H5:H1004,A18,'📋 Client Intake'!AB5:AB1004,"Year 2")</f>
        <v>0</v>
      </c>
      <c r="M18" s="35">
        <f>COUNTIFS('📋 Client Intake'!H5:H1004,A18,'📋 Client Intake'!AB5:AB1004,"Year 3")</f>
        <v>0</v>
      </c>
      <c r="N18" s="35">
        <f>COUNTIFS('📋 Client Intake'!H5:H1004,A18,'📋 Client Intake'!AB5:AB1004,"Year 4")</f>
        <v>0</v>
      </c>
      <c r="O18" s="35">
        <f>COUNTIFS('📋 Client Intake'!H5:H1004,A18,'📋 Client Intake'!AB5:AB1004,"Year 5")</f>
        <v>0</v>
      </c>
    </row>
    <row r="19" spans="1:16" ht="18" customHeight="1" x14ac:dyDescent="0.2">
      <c r="A19" s="121" t="s">
        <v>242</v>
      </c>
      <c r="B19" s="73"/>
      <c r="C19" s="73"/>
      <c r="D19" s="73"/>
      <c r="E19" s="122">
        <f>COUNTIFS('📋 Client Intake'!H5:H1004,A19)</f>
        <v>0</v>
      </c>
      <c r="F19" s="73"/>
      <c r="G19" s="73"/>
      <c r="H19" s="123">
        <f>IFERROR(E19/SUM(E6:E22),0)</f>
        <v>0</v>
      </c>
      <c r="I19" s="73"/>
      <c r="J19" s="73"/>
      <c r="K19" s="38">
        <f>COUNTIFS('📋 Client Intake'!H5:H1004,A19,'📋 Client Intake'!AB5:AB1004,"Year 1")</f>
        <v>0</v>
      </c>
      <c r="L19" s="38">
        <f>COUNTIFS('📋 Client Intake'!H5:H1004,A19,'📋 Client Intake'!AB5:AB1004,"Year 2")</f>
        <v>0</v>
      </c>
      <c r="M19" s="38">
        <f>COUNTIFS('📋 Client Intake'!H5:H1004,A19,'📋 Client Intake'!AB5:AB1004,"Year 3")</f>
        <v>0</v>
      </c>
      <c r="N19" s="38">
        <f>COUNTIFS('📋 Client Intake'!H5:H1004,A19,'📋 Client Intake'!AB5:AB1004,"Year 4")</f>
        <v>0</v>
      </c>
      <c r="O19" s="38">
        <f>COUNTIFS('📋 Client Intake'!H5:H1004,A19,'📋 Client Intake'!AB5:AB1004,"Year 5")</f>
        <v>0</v>
      </c>
    </row>
    <row r="20" spans="1:16" ht="18" customHeight="1" x14ac:dyDescent="0.2">
      <c r="A20" s="118" t="s">
        <v>150</v>
      </c>
      <c r="B20" s="73"/>
      <c r="C20" s="73"/>
      <c r="D20" s="73"/>
      <c r="E20" s="119">
        <f>COUNTIFS('📋 Client Intake'!H5:H1004,A20)</f>
        <v>1</v>
      </c>
      <c r="F20" s="73"/>
      <c r="G20" s="73"/>
      <c r="H20" s="117">
        <f>IFERROR(E20/SUM(E6:E22),0)</f>
        <v>0.2</v>
      </c>
      <c r="I20" s="73"/>
      <c r="J20" s="73"/>
      <c r="K20" s="35">
        <f>COUNTIFS('📋 Client Intake'!H5:H1004,A20,'📋 Client Intake'!AB5:AB1004,"Year 1")</f>
        <v>1</v>
      </c>
      <c r="L20" s="35">
        <f>COUNTIFS('📋 Client Intake'!H5:H1004,A20,'📋 Client Intake'!AB5:AB1004,"Year 2")</f>
        <v>0</v>
      </c>
      <c r="M20" s="35">
        <f>COUNTIFS('📋 Client Intake'!H5:H1004,A20,'📋 Client Intake'!AB5:AB1004,"Year 3")</f>
        <v>0</v>
      </c>
      <c r="N20" s="35">
        <f>COUNTIFS('📋 Client Intake'!H5:H1004,A20,'📋 Client Intake'!AB5:AB1004,"Year 4")</f>
        <v>0</v>
      </c>
      <c r="O20" s="35">
        <f>COUNTIFS('📋 Client Intake'!H5:H1004,A20,'📋 Client Intake'!AB5:AB1004,"Year 5")</f>
        <v>0</v>
      </c>
    </row>
    <row r="21" spans="1:16" ht="18" customHeight="1" x14ac:dyDescent="0.2">
      <c r="A21" s="121" t="s">
        <v>243</v>
      </c>
      <c r="B21" s="73"/>
      <c r="C21" s="73"/>
      <c r="D21" s="73"/>
      <c r="E21" s="122">
        <f>COUNTIFS('📋 Client Intake'!H5:H1004,A21)</f>
        <v>0</v>
      </c>
      <c r="F21" s="73"/>
      <c r="G21" s="73"/>
      <c r="H21" s="123">
        <f>IFERROR(E21/SUM(E6:E22),0)</f>
        <v>0</v>
      </c>
      <c r="I21" s="73"/>
      <c r="J21" s="73"/>
      <c r="K21" s="38">
        <f>COUNTIFS('📋 Client Intake'!H5:H1004,A21,'📋 Client Intake'!AB5:AB1004,"Year 1")</f>
        <v>0</v>
      </c>
      <c r="L21" s="38">
        <f>COUNTIFS('📋 Client Intake'!H5:H1004,A21,'📋 Client Intake'!AB5:AB1004,"Year 2")</f>
        <v>0</v>
      </c>
      <c r="M21" s="38">
        <f>COUNTIFS('📋 Client Intake'!H5:H1004,A21,'📋 Client Intake'!AB5:AB1004,"Year 3")</f>
        <v>0</v>
      </c>
      <c r="N21" s="38">
        <f>COUNTIFS('📋 Client Intake'!H5:H1004,A21,'📋 Client Intake'!AB5:AB1004,"Year 4")</f>
        <v>0</v>
      </c>
      <c r="O21" s="38">
        <f>COUNTIFS('📋 Client Intake'!H5:H1004,A21,'📋 Client Intake'!AB5:AB1004,"Year 5")</f>
        <v>0</v>
      </c>
    </row>
    <row r="22" spans="1:16" ht="18" customHeight="1" x14ac:dyDescent="0.2">
      <c r="A22" s="118" t="s">
        <v>110</v>
      </c>
      <c r="B22" s="73"/>
      <c r="C22" s="73"/>
      <c r="D22" s="73"/>
      <c r="E22" s="119">
        <f>COUNTIFS('📋 Client Intake'!H5:H1004,A22)</f>
        <v>1</v>
      </c>
      <c r="F22" s="73"/>
      <c r="G22" s="73"/>
      <c r="H22" s="117">
        <f>IFERROR(E22/SUM(E6:E22),0)</f>
        <v>0.2</v>
      </c>
      <c r="I22" s="73"/>
      <c r="J22" s="73"/>
      <c r="K22" s="35">
        <f>COUNTIFS('📋 Client Intake'!H5:H1004,A22,'📋 Client Intake'!AB5:AB1004,"Year 1")</f>
        <v>1</v>
      </c>
      <c r="L22" s="35">
        <f>COUNTIFS('📋 Client Intake'!H5:H1004,A22,'📋 Client Intake'!AB5:AB1004,"Year 2")</f>
        <v>0</v>
      </c>
      <c r="M22" s="35">
        <f>COUNTIFS('📋 Client Intake'!H5:H1004,A22,'📋 Client Intake'!AB5:AB1004,"Year 3")</f>
        <v>0</v>
      </c>
      <c r="N22" s="35">
        <f>COUNTIFS('📋 Client Intake'!H5:H1004,A22,'📋 Client Intake'!AB5:AB1004,"Year 4")</f>
        <v>0</v>
      </c>
      <c r="O22" s="35">
        <f>COUNTIFS('📋 Client Intake'!H5:H1004,A22,'📋 Client Intake'!AB5:AB1004,"Year 5")</f>
        <v>0</v>
      </c>
    </row>
    <row r="23" spans="1:16" ht="19.5" customHeight="1" x14ac:dyDescent="0.2">
      <c r="A23" s="125" t="s">
        <v>244</v>
      </c>
      <c r="B23" s="73"/>
      <c r="C23" s="73"/>
      <c r="D23" s="73"/>
      <c r="E23" s="120">
        <f>SUM(E6:E22)</f>
        <v>5</v>
      </c>
      <c r="F23" s="73"/>
      <c r="G23" s="73"/>
    </row>
    <row r="25" spans="1:16" ht="25.5" customHeight="1" x14ac:dyDescent="0.2">
      <c r="A25" s="116" t="s">
        <v>245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</row>
    <row r="26" spans="1:16" ht="31.5" customHeight="1" x14ac:dyDescent="0.2">
      <c r="A26" s="1" t="s">
        <v>246</v>
      </c>
      <c r="B26" s="1" t="s">
        <v>178</v>
      </c>
      <c r="C26" s="1" t="s">
        <v>247</v>
      </c>
      <c r="D26" s="1" t="s">
        <v>248</v>
      </c>
      <c r="E26" s="1" t="s">
        <v>249</v>
      </c>
      <c r="F26" s="1" t="s">
        <v>250</v>
      </c>
      <c r="G26" s="1" t="s">
        <v>83</v>
      </c>
      <c r="H26" s="1" t="s">
        <v>251</v>
      </c>
      <c r="I26" s="1" t="s">
        <v>252</v>
      </c>
      <c r="J26" s="1" t="s">
        <v>253</v>
      </c>
      <c r="K26" s="1" t="s">
        <v>28</v>
      </c>
      <c r="L26" s="1" t="s">
        <v>254</v>
      </c>
      <c r="M26" s="1" t="s">
        <v>255</v>
      </c>
      <c r="N26" s="1" t="s">
        <v>181</v>
      </c>
      <c r="O26" s="1" t="s">
        <v>256</v>
      </c>
      <c r="P26" s="1" t="s">
        <v>257</v>
      </c>
    </row>
  </sheetData>
  <mergeCells count="57">
    <mergeCell ref="E10:G10"/>
    <mergeCell ref="A23:D23"/>
    <mergeCell ref="A17:D17"/>
    <mergeCell ref="A8:D8"/>
    <mergeCell ref="E13:G13"/>
    <mergeCell ref="E19:G19"/>
    <mergeCell ref="A22:D22"/>
    <mergeCell ref="A20:D20"/>
    <mergeCell ref="E9:G9"/>
    <mergeCell ref="A4:P4"/>
    <mergeCell ref="A19:D19"/>
    <mergeCell ref="H17:J17"/>
    <mergeCell ref="A10:D10"/>
    <mergeCell ref="E15:G15"/>
    <mergeCell ref="H11:J11"/>
    <mergeCell ref="A13:D13"/>
    <mergeCell ref="E6:G6"/>
    <mergeCell ref="H7:J7"/>
    <mergeCell ref="H16:J16"/>
    <mergeCell ref="A9:D9"/>
    <mergeCell ref="H6:J6"/>
    <mergeCell ref="E11:G11"/>
    <mergeCell ref="A11:D11"/>
    <mergeCell ref="E7:G7"/>
    <mergeCell ref="A6:D6"/>
    <mergeCell ref="A1:P1"/>
    <mergeCell ref="H8:J8"/>
    <mergeCell ref="A7:D7"/>
    <mergeCell ref="E12:G12"/>
    <mergeCell ref="E18:G18"/>
    <mergeCell ref="A16:D16"/>
    <mergeCell ref="E8:G8"/>
    <mergeCell ref="H9:J9"/>
    <mergeCell ref="A2:P2"/>
    <mergeCell ref="H13:J13"/>
    <mergeCell ref="A15:D15"/>
    <mergeCell ref="H12:J12"/>
    <mergeCell ref="E16:G16"/>
    <mergeCell ref="H15:J15"/>
    <mergeCell ref="H18:J18"/>
    <mergeCell ref="H14:J14"/>
    <mergeCell ref="A25:P25"/>
    <mergeCell ref="H20:J20"/>
    <mergeCell ref="A18:D18"/>
    <mergeCell ref="H10:J10"/>
    <mergeCell ref="E14:G14"/>
    <mergeCell ref="A12:D12"/>
    <mergeCell ref="E23:G23"/>
    <mergeCell ref="A21:D21"/>
    <mergeCell ref="E17:G17"/>
    <mergeCell ref="H21:J21"/>
    <mergeCell ref="A14:D14"/>
    <mergeCell ref="H22:J22"/>
    <mergeCell ref="H19:J19"/>
    <mergeCell ref="E22:G22"/>
    <mergeCell ref="E20:G20"/>
    <mergeCell ref="E21:G21"/>
  </mergeCells>
  <dataValidations count="6">
    <dataValidation type="list" allowBlank="1" sqref="D27:D1000" xr:uid="{00000000-0002-0000-0300-000000000000}">
      <formula1>"INCOMING,OUTGOING"</formula1>
      <formula2>0</formula2>
    </dataValidation>
    <dataValidation type="list" allowBlank="1" sqref="G27:G1000" xr:uid="{00000000-0002-0000-0300-000001000000}">
      <formula1>"Ealing,Hillingdon,Hounslow,Other West London"</formula1>
      <formula2>0</formula2>
    </dataValidation>
    <dataValidation type="list" allowBlank="1" sqref="H27:H1000" xr:uid="{00000000-0002-0000-0300-000002000000}">
      <formula1>"High,Medium,Low"</formula1>
      <formula2>0</formula2>
    </dataValidation>
    <dataValidation type="list" allowBlank="1" sqref="K27:K1000" xr:uid="{00000000-0002-0000-0300-000003000000}">
      <formula1>"Accepted,Declined,Awaiting response,Referred on,Other"</formula1>
      <formula2>0</formula2>
    </dataValidation>
    <dataValidation type="list" allowBlank="1" sqref="L27:L1000" xr:uid="{00000000-0002-0000-0300-000004000000}">
      <formula1>"Yes,No"</formula1>
      <formula2>0</formula2>
    </dataValidation>
    <dataValidation type="list" allowBlank="1" sqref="O27:O1000" xr:uid="{00000000-0002-0000-0300-000005000000}">
      <formula1>"Year 1,Year 2,Year 3,Year 4,Year 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showGridLines="0" zoomScale="210" zoomScaleNormal="210" workbookViewId="0"/>
  </sheetViews>
  <sheetFormatPr baseColWidth="10" defaultColWidth="8.83203125" defaultRowHeight="15" customHeight="1" x14ac:dyDescent="0.2"/>
  <cols>
    <col min="1" max="1" width="13" customWidth="1"/>
    <col min="2" max="2" width="28" customWidth="1"/>
    <col min="3" max="3" width="20" customWidth="1"/>
    <col min="4" max="4" width="13" customWidth="1"/>
    <col min="5" max="6" width="18" customWidth="1"/>
    <col min="7" max="7" width="13" customWidth="1"/>
    <col min="8" max="8" width="16" customWidth="1"/>
    <col min="9" max="9" width="13" customWidth="1"/>
    <col min="10" max="10" width="28" customWidth="1"/>
  </cols>
  <sheetData>
    <row r="1" spans="1:10" ht="37.5" customHeight="1" x14ac:dyDescent="0.2">
      <c r="A1" s="114" t="s">
        <v>258</v>
      </c>
      <c r="B1" s="73"/>
      <c r="C1" s="73"/>
      <c r="D1" s="73"/>
      <c r="E1" s="73"/>
      <c r="F1" s="73"/>
      <c r="G1" s="73"/>
      <c r="H1" s="73"/>
      <c r="I1" s="73"/>
      <c r="J1" s="73"/>
    </row>
    <row r="3" spans="1:10" ht="25.5" customHeight="1" x14ac:dyDescent="0.2">
      <c r="A3" s="126" t="s">
        <v>259</v>
      </c>
      <c r="B3" s="73"/>
      <c r="C3" s="73"/>
      <c r="D3" s="73"/>
      <c r="E3" s="73"/>
      <c r="F3" s="73"/>
    </row>
    <row r="4" spans="1:10" ht="25.5" customHeight="1" x14ac:dyDescent="0.2">
      <c r="A4" s="1" t="s">
        <v>260</v>
      </c>
      <c r="B4" s="1" t="s">
        <v>261</v>
      </c>
      <c r="C4" s="1" t="s">
        <v>262</v>
      </c>
      <c r="D4" s="1" t="s">
        <v>263</v>
      </c>
      <c r="E4" s="1" t="s">
        <v>264</v>
      </c>
      <c r="F4" s="1" t="s">
        <v>265</v>
      </c>
      <c r="G4" s="1" t="s">
        <v>266</v>
      </c>
      <c r="H4" s="1" t="s">
        <v>267</v>
      </c>
    </row>
    <row r="5" spans="1:10" ht="19.5" customHeight="1" x14ac:dyDescent="0.2">
      <c r="A5" s="27" t="s">
        <v>268</v>
      </c>
      <c r="B5" s="40">
        <v>50</v>
      </c>
      <c r="C5" s="40">
        <v>50</v>
      </c>
      <c r="D5" s="40">
        <v>50</v>
      </c>
      <c r="E5" s="40">
        <v>50</v>
      </c>
      <c r="F5" s="40">
        <v>50</v>
      </c>
      <c r="G5" s="41">
        <v>4</v>
      </c>
      <c r="H5" s="42">
        <f t="shared" ref="H5:H14" si="0">IFERROR(G5/F5,0)</f>
        <v>0.08</v>
      </c>
    </row>
    <row r="6" spans="1:10" ht="19.5" customHeight="1" x14ac:dyDescent="0.2">
      <c r="A6" s="5" t="s">
        <v>269</v>
      </c>
      <c r="B6" s="40">
        <v>10</v>
      </c>
      <c r="C6" s="40">
        <v>15</v>
      </c>
      <c r="D6" s="40">
        <v>15</v>
      </c>
      <c r="E6" s="40">
        <v>15</v>
      </c>
      <c r="F6" s="40">
        <v>15</v>
      </c>
      <c r="G6" s="41">
        <v>1</v>
      </c>
      <c r="H6" s="7">
        <f t="shared" si="0"/>
        <v>6.6666666666666666E-2</v>
      </c>
    </row>
    <row r="7" spans="1:10" ht="19.5" customHeight="1" x14ac:dyDescent="0.2">
      <c r="A7" s="27" t="s">
        <v>270</v>
      </c>
      <c r="B7" s="40">
        <v>0</v>
      </c>
      <c r="C7" s="40">
        <v>15</v>
      </c>
      <c r="D7" s="40">
        <v>0</v>
      </c>
      <c r="E7" s="40">
        <v>0</v>
      </c>
      <c r="F7" s="40">
        <v>0</v>
      </c>
      <c r="G7" s="41">
        <v>0</v>
      </c>
      <c r="H7" s="42">
        <f t="shared" si="0"/>
        <v>0</v>
      </c>
    </row>
    <row r="8" spans="1:10" ht="19.5" customHeight="1" x14ac:dyDescent="0.2">
      <c r="A8" s="5" t="s">
        <v>271</v>
      </c>
      <c r="B8" s="40">
        <v>5</v>
      </c>
      <c r="C8" s="40">
        <v>10</v>
      </c>
      <c r="D8" s="40">
        <v>15</v>
      </c>
      <c r="E8" s="40">
        <v>18</v>
      </c>
      <c r="F8" s="40">
        <v>20</v>
      </c>
      <c r="G8" s="41">
        <v>0</v>
      </c>
      <c r="H8" s="7">
        <f t="shared" si="0"/>
        <v>0</v>
      </c>
    </row>
    <row r="9" spans="1:10" ht="19.5" customHeight="1" x14ac:dyDescent="0.2">
      <c r="A9" s="27" t="s">
        <v>272</v>
      </c>
      <c r="B9" s="40">
        <v>0</v>
      </c>
      <c r="C9" s="40">
        <v>2</v>
      </c>
      <c r="D9" s="40">
        <v>5</v>
      </c>
      <c r="E9" s="40">
        <v>7</v>
      </c>
      <c r="F9" s="40">
        <v>10</v>
      </c>
      <c r="G9" s="41">
        <v>0</v>
      </c>
      <c r="H9" s="42">
        <f t="shared" si="0"/>
        <v>0</v>
      </c>
    </row>
    <row r="10" spans="1:10" ht="19.5" customHeight="1" x14ac:dyDescent="0.2">
      <c r="A10" s="5" t="s">
        <v>273</v>
      </c>
      <c r="B10" s="40">
        <v>50</v>
      </c>
      <c r="C10" s="40">
        <v>50</v>
      </c>
      <c r="D10" s="40">
        <v>50</v>
      </c>
      <c r="E10" s="40">
        <v>50</v>
      </c>
      <c r="F10" s="40">
        <v>50</v>
      </c>
      <c r="G10" s="41">
        <v>0</v>
      </c>
      <c r="H10" s="7">
        <f t="shared" si="0"/>
        <v>0</v>
      </c>
    </row>
    <row r="11" spans="1:10" ht="19.5" customHeight="1" x14ac:dyDescent="0.2">
      <c r="A11" s="27" t="s">
        <v>274</v>
      </c>
      <c r="B11" s="40">
        <v>10</v>
      </c>
      <c r="C11" s="40">
        <v>15</v>
      </c>
      <c r="D11" s="40">
        <v>15</v>
      </c>
      <c r="E11" s="40">
        <v>15</v>
      </c>
      <c r="F11" s="40">
        <v>15</v>
      </c>
      <c r="G11" s="41">
        <v>1</v>
      </c>
      <c r="H11" s="42">
        <f t="shared" si="0"/>
        <v>6.6666666666666666E-2</v>
      </c>
    </row>
    <row r="12" spans="1:10" ht="19.5" customHeight="1" x14ac:dyDescent="0.2">
      <c r="A12" s="5" t="s">
        <v>275</v>
      </c>
      <c r="B12" s="40">
        <v>0</v>
      </c>
      <c r="C12" s="40">
        <v>1</v>
      </c>
      <c r="D12" s="40">
        <v>1</v>
      </c>
      <c r="E12" s="40">
        <v>1</v>
      </c>
      <c r="F12" s="40">
        <v>1</v>
      </c>
      <c r="G12" s="41">
        <v>0</v>
      </c>
      <c r="H12" s="7">
        <f t="shared" si="0"/>
        <v>0</v>
      </c>
    </row>
    <row r="13" spans="1:10" ht="19.5" customHeight="1" x14ac:dyDescent="0.2">
      <c r="A13" s="27" t="s">
        <v>276</v>
      </c>
      <c r="B13" s="40">
        <v>2</v>
      </c>
      <c r="C13" s="40">
        <v>4</v>
      </c>
      <c r="D13" s="40">
        <v>4</v>
      </c>
      <c r="E13" s="40">
        <v>4</v>
      </c>
      <c r="F13" s="40">
        <v>4</v>
      </c>
      <c r="G13" s="41">
        <v>0</v>
      </c>
      <c r="H13" s="42">
        <f t="shared" si="0"/>
        <v>0</v>
      </c>
    </row>
    <row r="14" spans="1:10" ht="19.5" customHeight="1" x14ac:dyDescent="0.2">
      <c r="A14" s="5" t="s">
        <v>277</v>
      </c>
      <c r="B14" s="40">
        <v>0</v>
      </c>
      <c r="C14" s="40">
        <v>0</v>
      </c>
      <c r="D14" s="40">
        <v>0</v>
      </c>
      <c r="E14" s="40">
        <v>1</v>
      </c>
      <c r="F14" s="40">
        <v>1</v>
      </c>
      <c r="G14" s="41">
        <v>0</v>
      </c>
      <c r="H14" s="7">
        <f t="shared" si="0"/>
        <v>0</v>
      </c>
    </row>
    <row r="16" spans="1:10" ht="25.5" customHeight="1" x14ac:dyDescent="0.2">
      <c r="A16" s="116" t="s">
        <v>278</v>
      </c>
      <c r="B16" s="73"/>
      <c r="C16" s="73"/>
      <c r="D16" s="73"/>
      <c r="E16" s="73"/>
      <c r="F16" s="73"/>
      <c r="G16" s="73"/>
      <c r="H16" s="73"/>
      <c r="I16" s="73"/>
      <c r="J16" s="73"/>
    </row>
    <row r="17" spans="1:10" ht="31.5" customHeight="1" x14ac:dyDescent="0.2">
      <c r="A17" s="1" t="s">
        <v>246</v>
      </c>
      <c r="B17" s="1" t="s">
        <v>279</v>
      </c>
      <c r="C17" s="1" t="s">
        <v>280</v>
      </c>
      <c r="D17" s="1" t="s">
        <v>83</v>
      </c>
      <c r="E17" s="1" t="s">
        <v>281</v>
      </c>
      <c r="F17" s="1" t="s">
        <v>282</v>
      </c>
      <c r="G17" s="1" t="s">
        <v>283</v>
      </c>
      <c r="H17" s="1" t="s">
        <v>284</v>
      </c>
      <c r="I17" s="1" t="s">
        <v>285</v>
      </c>
      <c r="J17" s="1" t="s">
        <v>286</v>
      </c>
    </row>
    <row r="18" spans="1:10" ht="15" customHeight="1" x14ac:dyDescent="0.2">
      <c r="A18" s="16">
        <v>46067</v>
      </c>
      <c r="B18" t="s">
        <v>287</v>
      </c>
      <c r="C18" t="s">
        <v>288</v>
      </c>
      <c r="D18" t="s">
        <v>50</v>
      </c>
      <c r="E18" t="s">
        <v>289</v>
      </c>
      <c r="F18" t="s">
        <v>108</v>
      </c>
      <c r="G18">
        <v>35</v>
      </c>
      <c r="H18">
        <v>3</v>
      </c>
      <c r="I18" t="s">
        <v>121</v>
      </c>
      <c r="J18" t="s">
        <v>290</v>
      </c>
    </row>
    <row r="19" spans="1:10" ht="15" customHeight="1" x14ac:dyDescent="0.2">
      <c r="A19" s="16">
        <v>46089</v>
      </c>
      <c r="B19" t="s">
        <v>291</v>
      </c>
      <c r="C19" t="s">
        <v>292</v>
      </c>
      <c r="D19" t="s">
        <v>50</v>
      </c>
      <c r="E19" t="s">
        <v>293</v>
      </c>
      <c r="F19" t="s">
        <v>139</v>
      </c>
      <c r="G19">
        <v>12</v>
      </c>
      <c r="H19">
        <v>0</v>
      </c>
      <c r="I19" t="s">
        <v>121</v>
      </c>
      <c r="J19" t="s">
        <v>294</v>
      </c>
    </row>
  </sheetData>
  <mergeCells count="3">
    <mergeCell ref="A3:F3"/>
    <mergeCell ref="A1:J1"/>
    <mergeCell ref="A16:J16"/>
  </mergeCells>
  <dataValidations count="6">
    <dataValidation type="list" allowBlank="1" sqref="C18:C1000" xr:uid="{00000000-0002-0000-0400-000000000000}">
      <formula1>"Workshop,Training Session,Outreach Event,Community Forum,Legal Clinic,Stakeholder Meeting,Awareness Campaign,Other"</formula1>
      <formula2>0</formula2>
    </dataValidation>
    <dataValidation type="list" allowBlank="1" sqref="D18:D1000" xr:uid="{00000000-0002-0000-0400-000001000000}">
      <formula1>"Ealing,Hillingdon,Hounslow,Other West London"</formula1>
      <formula2>0</formula2>
    </dataValidation>
    <dataValidation type="list" allowBlank="1" sqref="F18:F1000" xr:uid="{00000000-0002-0000-0400-000002000000}">
      <formula1>"Omer Ul-haque,Paula Howell,Reena Malhan,Edmund Akeju,Volunteer 1,Volunteer 2,Other"</formula1>
      <formula2>0</formula2>
    </dataValidation>
    <dataValidation type="list" allowBlank="1" sqref="I18:I1000" xr:uid="{00000000-0002-0000-0400-000003000000}">
      <formula1>"Year 1,Year 2,Year 3,Year 4,Year 5"</formula1>
      <formula2>0</formula2>
    </dataValidation>
    <dataValidation type="list" allowBlank="1" sqref="J18:J1000" xr:uid="{00000000-0002-0000-0400-000004000000}">
      <formula1>"O1: Better Access to Legal Support,O2: Increased Confidence to Report,O3: Strengthened Partnership,O4: Increased Awareness of HC,O5: Community-Led Solution,Multiple outcomes,See notes"</formula1>
      <formula2>0</formula2>
    </dataValidation>
    <dataValidation type="whole" allowBlank="1" sqref="H18:H1000" xr:uid="{00000000-0002-0000-0400-000005000000}">
      <formula1>0</formula1>
      <formula2>999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1"/>
  <sheetViews>
    <sheetView showGridLines="0" topLeftCell="A10" zoomScale="150" zoomScaleNormal="85" workbookViewId="0">
      <selection activeCell="I26" sqref="I26"/>
    </sheetView>
  </sheetViews>
  <sheetFormatPr baseColWidth="10" defaultColWidth="8.83203125" defaultRowHeight="15" customHeight="1" x14ac:dyDescent="0.2"/>
  <cols>
    <col min="1" max="1" width="13" customWidth="1"/>
    <col min="2" max="2" width="10" customWidth="1"/>
    <col min="3" max="3" width="20" customWidth="1"/>
    <col min="4" max="4" width="26" customWidth="1"/>
    <col min="5" max="5" width="18" customWidth="1"/>
    <col min="6" max="6" width="13" customWidth="1"/>
    <col min="7" max="7" width="10" customWidth="1"/>
    <col min="8" max="8" width="16" customWidth="1"/>
    <col min="9" max="9" width="24" customWidth="1"/>
    <col min="10" max="10" width="13" customWidth="1"/>
    <col min="11" max="11" width="14" customWidth="1"/>
    <col min="12" max="14" width="16" customWidth="1"/>
    <col min="15" max="15" width="13" customWidth="1"/>
    <col min="16" max="16" width="57.83203125" customWidth="1"/>
  </cols>
  <sheetData>
    <row r="1" spans="1:16" ht="37.5" customHeight="1" x14ac:dyDescent="0.2">
      <c r="A1" s="114" t="s">
        <v>295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9.5" customHeight="1" x14ac:dyDescent="0.2">
      <c r="A2" s="112" t="s">
        <v>296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ht="7.5" customHeight="1" x14ac:dyDescent="0.2">
      <c r="A3" s="8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27.75" customHeight="1" x14ac:dyDescent="0.2">
      <c r="A4" s="124" t="s">
        <v>297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6" ht="21.75" customHeight="1" x14ac:dyDescent="0.2">
      <c r="A5" s="89" t="s">
        <v>298</v>
      </c>
      <c r="B5" s="73"/>
      <c r="C5" s="73"/>
      <c r="D5" s="73"/>
      <c r="E5" s="80" t="s">
        <v>299</v>
      </c>
      <c r="F5" s="73"/>
      <c r="G5" s="73"/>
      <c r="H5" s="73"/>
      <c r="I5" s="78" t="s">
        <v>70</v>
      </c>
      <c r="J5" s="73"/>
      <c r="K5" s="73"/>
      <c r="L5" s="73"/>
      <c r="M5" s="127" t="s">
        <v>300</v>
      </c>
      <c r="N5" s="73"/>
      <c r="O5" s="73"/>
      <c r="P5" s="73"/>
    </row>
    <row r="6" spans="1:16" ht="21.75" customHeight="1" x14ac:dyDescent="0.2">
      <c r="A6" s="77">
        <f>COUNTA(B12:B211)</f>
        <v>4</v>
      </c>
      <c r="B6" s="73"/>
      <c r="C6" s="73"/>
      <c r="D6" s="73"/>
      <c r="E6" s="128">
        <f>COUNTIF(G12:G211,"Active")</f>
        <v>4</v>
      </c>
      <c r="F6" s="73"/>
      <c r="G6" s="73"/>
      <c r="H6" s="73"/>
      <c r="I6" s="88">
        <f>SUM(J12:J211)</f>
        <v>54</v>
      </c>
      <c r="J6" s="73"/>
      <c r="K6" s="73"/>
      <c r="L6" s="73"/>
      <c r="M6" s="105">
        <f>COUNTIF(F12:F211,"Complete")</f>
        <v>0</v>
      </c>
      <c r="N6" s="73"/>
      <c r="O6" s="73"/>
      <c r="P6" s="73"/>
    </row>
    <row r="7" spans="1:16" ht="21.75" customHeight="1" x14ac:dyDescent="0.2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</row>
    <row r="8" spans="1:16" ht="21.75" customHeight="1" x14ac:dyDescent="0.2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7.5" customHeight="1" x14ac:dyDescent="0.2">
      <c r="A9" s="84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 ht="25.5" customHeight="1" x14ac:dyDescent="0.2">
      <c r="A10" s="116" t="s">
        <v>301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spans="1:16" ht="37.5" customHeight="1" x14ac:dyDescent="0.2">
      <c r="A11" s="8" t="s">
        <v>302</v>
      </c>
      <c r="B11" s="8" t="s">
        <v>78</v>
      </c>
      <c r="C11" s="8" t="s">
        <v>303</v>
      </c>
      <c r="D11" s="8" t="s">
        <v>304</v>
      </c>
      <c r="E11" s="8" t="s">
        <v>305</v>
      </c>
      <c r="F11" s="8" t="s">
        <v>306</v>
      </c>
      <c r="G11" s="8" t="s">
        <v>307</v>
      </c>
      <c r="H11" s="8" t="s">
        <v>308</v>
      </c>
      <c r="I11" s="8" t="s">
        <v>309</v>
      </c>
      <c r="J11" s="8" t="s">
        <v>310</v>
      </c>
      <c r="K11" s="8" t="s">
        <v>311</v>
      </c>
      <c r="L11" s="8" t="s">
        <v>312</v>
      </c>
      <c r="M11" s="8" t="s">
        <v>313</v>
      </c>
      <c r="N11" s="8" t="s">
        <v>314</v>
      </c>
      <c r="O11" s="8" t="s">
        <v>315</v>
      </c>
      <c r="P11" s="8" t="s">
        <v>257</v>
      </c>
    </row>
    <row r="12" spans="1:16" x14ac:dyDescent="0.2">
      <c r="A12" t="s">
        <v>316</v>
      </c>
      <c r="B12" t="s">
        <v>106</v>
      </c>
      <c r="C12" t="s">
        <v>317</v>
      </c>
      <c r="D12" s="71">
        <v>45962</v>
      </c>
      <c r="E12" t="s">
        <v>50</v>
      </c>
      <c r="F12" t="s">
        <v>318</v>
      </c>
      <c r="G12" t="s">
        <v>109</v>
      </c>
      <c r="H12" s="71">
        <v>45945</v>
      </c>
      <c r="I12" s="71">
        <v>46675</v>
      </c>
      <c r="J12">
        <v>24</v>
      </c>
      <c r="K12">
        <v>3</v>
      </c>
      <c r="L12">
        <v>2</v>
      </c>
      <c r="M12" t="s">
        <v>118</v>
      </c>
      <c r="N12" t="s">
        <v>134</v>
      </c>
      <c r="O12" t="s">
        <v>121</v>
      </c>
      <c r="P12" t="s">
        <v>319</v>
      </c>
    </row>
    <row r="13" spans="1:16" x14ac:dyDescent="0.2">
      <c r="A13" t="s">
        <v>320</v>
      </c>
      <c r="B13" t="s">
        <v>123</v>
      </c>
      <c r="C13" t="s">
        <v>321</v>
      </c>
      <c r="D13" s="71">
        <v>46032</v>
      </c>
      <c r="E13" t="s">
        <v>51</v>
      </c>
      <c r="F13" t="s">
        <v>322</v>
      </c>
      <c r="G13" t="s">
        <v>109</v>
      </c>
      <c r="H13" s="71">
        <v>45992</v>
      </c>
      <c r="I13" s="71">
        <v>46722</v>
      </c>
      <c r="J13">
        <v>16</v>
      </c>
      <c r="K13">
        <v>2</v>
      </c>
      <c r="L13">
        <v>1</v>
      </c>
      <c r="M13" t="s">
        <v>323</v>
      </c>
      <c r="N13" t="s">
        <v>134</v>
      </c>
      <c r="O13" t="s">
        <v>121</v>
      </c>
      <c r="P13" t="s">
        <v>324</v>
      </c>
    </row>
    <row r="14" spans="1:16" x14ac:dyDescent="0.2">
      <c r="A14" t="s">
        <v>325</v>
      </c>
      <c r="B14" t="s">
        <v>137</v>
      </c>
      <c r="C14" t="s">
        <v>326</v>
      </c>
      <c r="D14" s="71">
        <v>46086</v>
      </c>
      <c r="E14" t="s">
        <v>50</v>
      </c>
      <c r="F14" t="s">
        <v>318</v>
      </c>
      <c r="G14" t="s">
        <v>109</v>
      </c>
      <c r="H14" s="71">
        <v>46073</v>
      </c>
      <c r="I14" s="71">
        <v>46803</v>
      </c>
      <c r="J14">
        <v>10</v>
      </c>
      <c r="K14">
        <v>0</v>
      </c>
      <c r="L14">
        <v>1</v>
      </c>
      <c r="M14" t="s">
        <v>118</v>
      </c>
      <c r="N14" t="s">
        <v>134</v>
      </c>
      <c r="O14" t="s">
        <v>121</v>
      </c>
      <c r="P14" t="s">
        <v>327</v>
      </c>
    </row>
    <row r="15" spans="1:16" x14ac:dyDescent="0.2">
      <c r="A15" t="s">
        <v>328</v>
      </c>
      <c r="B15" t="s">
        <v>147</v>
      </c>
      <c r="C15" t="s">
        <v>329</v>
      </c>
      <c r="D15" s="71">
        <v>46341</v>
      </c>
      <c r="E15" t="s">
        <v>52</v>
      </c>
      <c r="F15" t="s">
        <v>330</v>
      </c>
      <c r="G15" t="s">
        <v>109</v>
      </c>
      <c r="H15" s="71">
        <v>46325</v>
      </c>
      <c r="I15" s="71">
        <v>47056</v>
      </c>
      <c r="J15">
        <v>4</v>
      </c>
      <c r="K15">
        <v>1</v>
      </c>
      <c r="L15">
        <v>0</v>
      </c>
      <c r="M15" t="s">
        <v>331</v>
      </c>
      <c r="N15" t="s">
        <v>134</v>
      </c>
      <c r="O15" t="s">
        <v>166</v>
      </c>
      <c r="P15" t="s">
        <v>332</v>
      </c>
    </row>
    <row r="220" spans="1:9" ht="25.5" customHeight="1" x14ac:dyDescent="0.2">
      <c r="A220" s="116" t="s">
        <v>333</v>
      </c>
      <c r="B220" s="73"/>
      <c r="C220" s="73"/>
      <c r="D220" s="73"/>
      <c r="E220" s="73"/>
      <c r="F220" s="73"/>
      <c r="G220" s="73"/>
      <c r="H220" s="73"/>
      <c r="I220" s="73"/>
    </row>
    <row r="221" spans="1:9" ht="27.75" customHeight="1" x14ac:dyDescent="0.2">
      <c r="A221" s="1" t="s">
        <v>246</v>
      </c>
      <c r="B221" s="1" t="s">
        <v>302</v>
      </c>
      <c r="C221" s="1" t="s">
        <v>334</v>
      </c>
      <c r="D221" s="1" t="s">
        <v>335</v>
      </c>
      <c r="E221" s="1" t="s">
        <v>280</v>
      </c>
      <c r="F221" s="1" t="s">
        <v>83</v>
      </c>
      <c r="G221" s="1" t="s">
        <v>336</v>
      </c>
      <c r="H221" s="1" t="s">
        <v>337</v>
      </c>
      <c r="I221" s="1" t="s">
        <v>257</v>
      </c>
    </row>
  </sheetData>
  <mergeCells count="15">
    <mergeCell ref="A1:P1"/>
    <mergeCell ref="A9:P9"/>
    <mergeCell ref="A4:P4"/>
    <mergeCell ref="A220:I220"/>
    <mergeCell ref="A3:P3"/>
    <mergeCell ref="E5:H5"/>
    <mergeCell ref="A6:D8"/>
    <mergeCell ref="A2:P2"/>
    <mergeCell ref="M5:P5"/>
    <mergeCell ref="A5:D5"/>
    <mergeCell ref="A10:P10"/>
    <mergeCell ref="E6:H8"/>
    <mergeCell ref="I6:L8"/>
    <mergeCell ref="I5:L5"/>
    <mergeCell ref="M6:P8"/>
  </mergeCells>
  <dataValidations count="5">
    <dataValidation type="list" allowBlank="1" sqref="E12:E211" xr:uid="{00000000-0002-0000-0500-000000000000}">
      <formula1>"Ealing,Hillingdon,Hounslow,All"</formula1>
      <formula2>0</formula2>
    </dataValidation>
    <dataValidation type="list" allowBlank="1" sqref="F12:F211" xr:uid="{00000000-0002-0000-0500-000001000000}">
      <formula1>"Complete,In Progress,Not started,Lapsed"</formula1>
      <formula2>0</formula2>
    </dataValidation>
    <dataValidation type="list" allowBlank="1" sqref="G12:G211" xr:uid="{00000000-0002-0000-0500-000002000000}">
      <formula1>"Active,Pending,On hold,Inactive,Completed tenure"</formula1>
      <formula2>0</formula2>
    </dataValidation>
    <dataValidation type="list" allowBlank="1" sqref="O12:O211" xr:uid="{00000000-0002-0000-0500-000003000000}">
      <formula1>"Year 1,Year 2,Year 3,Year 4,Year 5"</formula1>
      <formula2>0</formula2>
    </dataValidation>
    <dataValidation type="list" allowBlank="1" sqref="E222:E600" xr:uid="{00000000-0002-0000-0500-000004000000}">
      <formula1>"Community Outreach,Training,Admin,Case Support,Legal Clinic,Awareness Event,Peer Support,Digital,Other"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36"/>
  <sheetViews>
    <sheetView showGridLines="0" zoomScale="85" zoomScaleNormal="85" workbookViewId="0">
      <selection activeCell="F44" sqref="F44"/>
    </sheetView>
  </sheetViews>
  <sheetFormatPr baseColWidth="10" defaultColWidth="8.83203125" defaultRowHeight="15" customHeight="1" x14ac:dyDescent="0.2"/>
  <cols>
    <col min="1" max="1" width="22" customWidth="1"/>
    <col min="2" max="10" width="13" customWidth="1"/>
    <col min="11" max="14" width="14" customWidth="1"/>
    <col min="15" max="15" width="13" customWidth="1"/>
    <col min="16" max="16" width="14" customWidth="1"/>
    <col min="17" max="17" width="13" customWidth="1"/>
    <col min="18" max="18" width="24" customWidth="1"/>
  </cols>
  <sheetData>
    <row r="1" spans="1:18" ht="37.5" customHeight="1" x14ac:dyDescent="0.2">
      <c r="A1" s="114" t="s">
        <v>338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19.5" customHeight="1" x14ac:dyDescent="0.2">
      <c r="A2" s="112" t="s">
        <v>339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ht="7.5" customHeight="1" x14ac:dyDescent="0.2">
      <c r="A3" s="8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ht="27.75" customHeight="1" x14ac:dyDescent="0.2">
      <c r="A4" s="131" t="s">
        <v>340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25.5" customHeight="1" x14ac:dyDescent="0.2">
      <c r="A5" s="91" t="s">
        <v>341</v>
      </c>
      <c r="B5" s="73"/>
      <c r="C5" s="73"/>
      <c r="D5" s="73"/>
      <c r="E5" s="89" t="s">
        <v>342</v>
      </c>
      <c r="F5" s="73"/>
      <c r="G5" s="73"/>
      <c r="H5" s="73"/>
      <c r="I5" s="80" t="s">
        <v>343</v>
      </c>
      <c r="J5" s="73"/>
      <c r="K5" s="73"/>
      <c r="L5" s="73"/>
      <c r="M5" s="78" t="s">
        <v>344</v>
      </c>
      <c r="N5" s="73"/>
      <c r="O5" s="73"/>
      <c r="P5" s="73"/>
      <c r="Q5" s="72" t="s">
        <v>345</v>
      </c>
      <c r="R5" s="73"/>
    </row>
    <row r="6" spans="1:18" ht="25.5" customHeight="1" x14ac:dyDescent="0.2">
      <c r="A6" s="82">
        <f>COUNTA(B10:B500)</f>
        <v>5</v>
      </c>
      <c r="B6" s="73"/>
      <c r="C6" s="73"/>
      <c r="D6" s="73"/>
      <c r="E6" s="77">
        <f>SUM(H10:H500)</f>
        <v>87</v>
      </c>
      <c r="F6" s="73"/>
      <c r="G6" s="73"/>
      <c r="H6" s="73"/>
      <c r="I6" s="128">
        <f>COUNTIF(D10:D500,"Staff")</f>
        <v>1</v>
      </c>
      <c r="J6" s="73"/>
      <c r="K6" s="73"/>
      <c r="L6" s="73"/>
      <c r="M6" s="88">
        <f>COUNTIF(D10:D500,"Volunteer")</f>
        <v>0</v>
      </c>
      <c r="N6" s="73"/>
      <c r="O6" s="73"/>
      <c r="P6" s="73"/>
      <c r="Q6" s="83">
        <f>COUNTIF(D10:D500,"Partner/Community")</f>
        <v>0</v>
      </c>
      <c r="R6" s="73"/>
    </row>
    <row r="7" spans="1:18" ht="25.5" customHeight="1" x14ac:dyDescent="0.2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</row>
    <row r="8" spans="1:18" ht="7.5" customHeight="1" x14ac:dyDescent="0.2">
      <c r="A8" s="84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</row>
    <row r="9" spans="1:18" ht="25.5" customHeight="1" x14ac:dyDescent="0.2">
      <c r="A9" s="116" t="s">
        <v>346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</row>
    <row r="10" spans="1:18" ht="43.5" customHeight="1" x14ac:dyDescent="0.2">
      <c r="A10" s="10" t="s">
        <v>246</v>
      </c>
      <c r="B10" s="10" t="s">
        <v>347</v>
      </c>
      <c r="C10" s="10" t="s">
        <v>348</v>
      </c>
      <c r="D10" s="10" t="s">
        <v>349</v>
      </c>
      <c r="E10" s="10" t="s">
        <v>256</v>
      </c>
      <c r="F10" s="10" t="s">
        <v>350</v>
      </c>
      <c r="G10" s="10" t="s">
        <v>351</v>
      </c>
      <c r="H10" s="10" t="s">
        <v>283</v>
      </c>
      <c r="I10" s="10" t="s">
        <v>336</v>
      </c>
      <c r="J10" s="10" t="s">
        <v>83</v>
      </c>
      <c r="K10" s="10" t="s">
        <v>352</v>
      </c>
      <c r="L10" s="10" t="s">
        <v>353</v>
      </c>
      <c r="M10" s="10" t="s">
        <v>354</v>
      </c>
      <c r="N10" s="10" t="s">
        <v>355</v>
      </c>
      <c r="O10" s="10" t="s">
        <v>356</v>
      </c>
      <c r="P10" s="10" t="s">
        <v>357</v>
      </c>
      <c r="Q10" s="10" t="s">
        <v>254</v>
      </c>
      <c r="R10" s="10" t="s">
        <v>257</v>
      </c>
    </row>
    <row r="11" spans="1:18" x14ac:dyDescent="0.2">
      <c r="A11" s="71">
        <v>46067</v>
      </c>
      <c r="B11" t="s">
        <v>358</v>
      </c>
      <c r="C11" t="s">
        <v>359</v>
      </c>
      <c r="D11" t="s">
        <v>360</v>
      </c>
      <c r="E11" t="s">
        <v>121</v>
      </c>
      <c r="F11" t="s">
        <v>361</v>
      </c>
      <c r="G11" t="s">
        <v>289</v>
      </c>
      <c r="H11">
        <v>35</v>
      </c>
      <c r="I11">
        <v>3</v>
      </c>
      <c r="J11" t="s">
        <v>50</v>
      </c>
      <c r="K11" t="s">
        <v>362</v>
      </c>
      <c r="L11">
        <v>3</v>
      </c>
      <c r="M11">
        <v>4</v>
      </c>
      <c r="N11" t="s">
        <v>144</v>
      </c>
      <c r="O11">
        <v>5</v>
      </c>
      <c r="P11" t="s">
        <v>363</v>
      </c>
      <c r="Q11" t="s">
        <v>132</v>
      </c>
      <c r="R11" t="s">
        <v>364</v>
      </c>
    </row>
    <row r="12" spans="1:18" x14ac:dyDescent="0.2">
      <c r="A12" s="71">
        <v>46089</v>
      </c>
      <c r="B12" t="s">
        <v>365</v>
      </c>
      <c r="C12" t="s">
        <v>366</v>
      </c>
      <c r="D12" t="s">
        <v>367</v>
      </c>
      <c r="E12" t="s">
        <v>121</v>
      </c>
      <c r="F12" t="s">
        <v>361</v>
      </c>
      <c r="G12" t="s">
        <v>293</v>
      </c>
      <c r="H12">
        <v>12</v>
      </c>
      <c r="I12">
        <v>2.5</v>
      </c>
      <c r="J12" t="s">
        <v>50</v>
      </c>
      <c r="K12" t="s">
        <v>362</v>
      </c>
      <c r="L12">
        <v>3</v>
      </c>
      <c r="M12">
        <v>5</v>
      </c>
      <c r="N12" t="s">
        <v>144</v>
      </c>
      <c r="O12">
        <v>4</v>
      </c>
      <c r="P12" t="s">
        <v>368</v>
      </c>
      <c r="Q12" t="s">
        <v>132</v>
      </c>
      <c r="R12" t="s">
        <v>369</v>
      </c>
    </row>
    <row r="13" spans="1:18" x14ac:dyDescent="0.2">
      <c r="A13" s="71">
        <v>46162</v>
      </c>
      <c r="B13" t="s">
        <v>370</v>
      </c>
      <c r="C13" t="s">
        <v>371</v>
      </c>
      <c r="D13" t="s">
        <v>372</v>
      </c>
      <c r="E13" t="s">
        <v>121</v>
      </c>
      <c r="F13" t="s">
        <v>361</v>
      </c>
      <c r="G13" t="s">
        <v>373</v>
      </c>
      <c r="H13">
        <v>22</v>
      </c>
      <c r="I13">
        <v>2</v>
      </c>
      <c r="J13" t="s">
        <v>374</v>
      </c>
      <c r="K13" t="s">
        <v>375</v>
      </c>
      <c r="L13">
        <v>2</v>
      </c>
      <c r="M13">
        <v>4</v>
      </c>
      <c r="N13" t="s">
        <v>132</v>
      </c>
      <c r="O13">
        <v>4</v>
      </c>
      <c r="P13" t="s">
        <v>376</v>
      </c>
      <c r="Q13" t="s">
        <v>144</v>
      </c>
      <c r="R13" t="s">
        <v>377</v>
      </c>
    </row>
    <row r="14" spans="1:18" x14ac:dyDescent="0.2">
      <c r="A14" s="71">
        <v>46336</v>
      </c>
      <c r="B14" t="s">
        <v>378</v>
      </c>
      <c r="C14" t="s">
        <v>379</v>
      </c>
      <c r="D14" t="s">
        <v>380</v>
      </c>
      <c r="E14" t="s">
        <v>166</v>
      </c>
      <c r="F14" t="s">
        <v>361</v>
      </c>
      <c r="G14" t="s">
        <v>381</v>
      </c>
      <c r="H14">
        <v>18</v>
      </c>
      <c r="I14">
        <v>3</v>
      </c>
      <c r="J14" t="s">
        <v>51</v>
      </c>
      <c r="K14" t="s">
        <v>362</v>
      </c>
      <c r="L14">
        <v>3</v>
      </c>
      <c r="M14">
        <v>5</v>
      </c>
      <c r="N14" t="s">
        <v>144</v>
      </c>
      <c r="O14">
        <v>5</v>
      </c>
      <c r="P14" t="s">
        <v>382</v>
      </c>
      <c r="Q14" t="s">
        <v>132</v>
      </c>
      <c r="R14" t="s">
        <v>383</v>
      </c>
    </row>
    <row r="515" spans="1:18" ht="27.75" customHeight="1" x14ac:dyDescent="0.2">
      <c r="A515" s="116" t="s">
        <v>384</v>
      </c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</row>
    <row r="516" spans="1:18" ht="43.5" customHeight="1" x14ac:dyDescent="0.2">
      <c r="A516" s="43" t="s">
        <v>385</v>
      </c>
      <c r="B516" s="10" t="s">
        <v>386</v>
      </c>
      <c r="C516" s="10" t="s">
        <v>387</v>
      </c>
      <c r="D516" s="10" t="s">
        <v>388</v>
      </c>
      <c r="E516" s="10" t="s">
        <v>389</v>
      </c>
      <c r="F516" s="10" t="s">
        <v>390</v>
      </c>
      <c r="G516" s="10" t="s">
        <v>391</v>
      </c>
      <c r="H516" s="10" t="s">
        <v>392</v>
      </c>
      <c r="I516" s="10" t="s">
        <v>393</v>
      </c>
      <c r="J516" s="130" t="s">
        <v>394</v>
      </c>
      <c r="K516" s="73"/>
      <c r="L516" s="73"/>
      <c r="M516" s="73"/>
      <c r="N516" s="73"/>
      <c r="O516" s="73"/>
      <c r="P516" s="73"/>
      <c r="Q516" s="73"/>
      <c r="R516" s="73"/>
    </row>
    <row r="517" spans="1:18" ht="19.5" customHeight="1" x14ac:dyDescent="0.2">
      <c r="A517" s="44"/>
      <c r="B517" s="45" t="s">
        <v>395</v>
      </c>
      <c r="C517" s="45" t="s">
        <v>395</v>
      </c>
      <c r="D517" s="45" t="s">
        <v>395</v>
      </c>
      <c r="E517" s="45" t="s">
        <v>395</v>
      </c>
      <c r="F517" s="45" t="s">
        <v>395</v>
      </c>
      <c r="G517" s="45" t="s">
        <v>395</v>
      </c>
      <c r="H517" s="45" t="s">
        <v>395</v>
      </c>
      <c r="I517" s="45" t="s">
        <v>395</v>
      </c>
      <c r="J517" s="129">
        <f t="shared" ref="J517:J536" si="0">COUNTIF(B517:I517,"✅")/8</f>
        <v>0</v>
      </c>
      <c r="K517" s="73"/>
      <c r="L517" s="73"/>
      <c r="M517" s="73"/>
      <c r="N517" s="73"/>
      <c r="O517" s="73"/>
      <c r="P517" s="73"/>
      <c r="Q517" s="73"/>
      <c r="R517" s="73"/>
    </row>
    <row r="518" spans="1:18" ht="19.5" customHeight="1" x14ac:dyDescent="0.2">
      <c r="A518" s="46"/>
      <c r="B518" s="45" t="s">
        <v>395</v>
      </c>
      <c r="C518" s="45" t="s">
        <v>395</v>
      </c>
      <c r="D518" s="45" t="s">
        <v>395</v>
      </c>
      <c r="E518" s="45" t="s">
        <v>395</v>
      </c>
      <c r="F518" s="45" t="s">
        <v>395</v>
      </c>
      <c r="G518" s="45" t="s">
        <v>395</v>
      </c>
      <c r="H518" s="45" t="s">
        <v>395</v>
      </c>
      <c r="I518" s="45" t="s">
        <v>395</v>
      </c>
      <c r="J518" s="129">
        <f t="shared" si="0"/>
        <v>0</v>
      </c>
      <c r="K518" s="73"/>
      <c r="L518" s="73"/>
      <c r="M518" s="73"/>
      <c r="N518" s="73"/>
      <c r="O518" s="73"/>
      <c r="P518" s="73"/>
      <c r="Q518" s="73"/>
      <c r="R518" s="73"/>
    </row>
    <row r="519" spans="1:18" ht="19.5" customHeight="1" x14ac:dyDescent="0.2">
      <c r="A519" s="44"/>
      <c r="B519" s="45" t="s">
        <v>395</v>
      </c>
      <c r="C519" s="45" t="s">
        <v>395</v>
      </c>
      <c r="D519" s="45" t="s">
        <v>395</v>
      </c>
      <c r="E519" s="45" t="s">
        <v>395</v>
      </c>
      <c r="F519" s="45" t="s">
        <v>395</v>
      </c>
      <c r="G519" s="45" t="s">
        <v>395</v>
      </c>
      <c r="H519" s="45" t="s">
        <v>395</v>
      </c>
      <c r="I519" s="45" t="s">
        <v>395</v>
      </c>
      <c r="J519" s="129">
        <f t="shared" si="0"/>
        <v>0</v>
      </c>
      <c r="K519" s="73"/>
      <c r="L519" s="73"/>
      <c r="M519" s="73"/>
      <c r="N519" s="73"/>
      <c r="O519" s="73"/>
      <c r="P519" s="73"/>
      <c r="Q519" s="73"/>
      <c r="R519" s="73"/>
    </row>
    <row r="520" spans="1:18" ht="19.5" customHeight="1" x14ac:dyDescent="0.2">
      <c r="A520" s="46"/>
      <c r="B520" s="45" t="s">
        <v>395</v>
      </c>
      <c r="C520" s="45" t="s">
        <v>395</v>
      </c>
      <c r="D520" s="45" t="s">
        <v>395</v>
      </c>
      <c r="E520" s="45" t="s">
        <v>395</v>
      </c>
      <c r="F520" s="45" t="s">
        <v>395</v>
      </c>
      <c r="G520" s="45" t="s">
        <v>395</v>
      </c>
      <c r="H520" s="45" t="s">
        <v>395</v>
      </c>
      <c r="I520" s="45" t="s">
        <v>395</v>
      </c>
      <c r="J520" s="129">
        <f t="shared" si="0"/>
        <v>0</v>
      </c>
      <c r="K520" s="73"/>
      <c r="L520" s="73"/>
      <c r="M520" s="73"/>
      <c r="N520" s="73"/>
      <c r="O520" s="73"/>
      <c r="P520" s="73"/>
      <c r="Q520" s="73"/>
      <c r="R520" s="73"/>
    </row>
    <row r="521" spans="1:18" ht="19.5" customHeight="1" x14ac:dyDescent="0.2">
      <c r="A521" s="44"/>
      <c r="B521" s="45" t="s">
        <v>395</v>
      </c>
      <c r="C521" s="45" t="s">
        <v>395</v>
      </c>
      <c r="D521" s="45" t="s">
        <v>395</v>
      </c>
      <c r="E521" s="45" t="s">
        <v>395</v>
      </c>
      <c r="F521" s="45" t="s">
        <v>395</v>
      </c>
      <c r="G521" s="45" t="s">
        <v>395</v>
      </c>
      <c r="H521" s="45" t="s">
        <v>395</v>
      </c>
      <c r="I521" s="45" t="s">
        <v>395</v>
      </c>
      <c r="J521" s="129">
        <f t="shared" si="0"/>
        <v>0</v>
      </c>
      <c r="K521" s="73"/>
      <c r="L521" s="73"/>
      <c r="M521" s="73"/>
      <c r="N521" s="73"/>
      <c r="O521" s="73"/>
      <c r="P521" s="73"/>
      <c r="Q521" s="73"/>
      <c r="R521" s="73"/>
    </row>
    <row r="522" spans="1:18" ht="19.5" customHeight="1" x14ac:dyDescent="0.2">
      <c r="A522" s="46"/>
      <c r="B522" s="45" t="s">
        <v>395</v>
      </c>
      <c r="C522" s="45" t="s">
        <v>395</v>
      </c>
      <c r="D522" s="45" t="s">
        <v>395</v>
      </c>
      <c r="E522" s="45" t="s">
        <v>395</v>
      </c>
      <c r="F522" s="45" t="s">
        <v>395</v>
      </c>
      <c r="G522" s="45" t="s">
        <v>395</v>
      </c>
      <c r="H522" s="45" t="s">
        <v>395</v>
      </c>
      <c r="I522" s="45" t="s">
        <v>395</v>
      </c>
      <c r="J522" s="129">
        <f t="shared" si="0"/>
        <v>0</v>
      </c>
      <c r="K522" s="73"/>
      <c r="L522" s="73"/>
      <c r="M522" s="73"/>
      <c r="N522" s="73"/>
      <c r="O522" s="73"/>
      <c r="P522" s="73"/>
      <c r="Q522" s="73"/>
      <c r="R522" s="73"/>
    </row>
    <row r="523" spans="1:18" ht="19.5" customHeight="1" x14ac:dyDescent="0.2">
      <c r="A523" s="44"/>
      <c r="B523" s="45" t="s">
        <v>395</v>
      </c>
      <c r="C523" s="45" t="s">
        <v>395</v>
      </c>
      <c r="D523" s="45" t="s">
        <v>395</v>
      </c>
      <c r="E523" s="45" t="s">
        <v>395</v>
      </c>
      <c r="F523" s="45" t="s">
        <v>395</v>
      </c>
      <c r="G523" s="45" t="s">
        <v>395</v>
      </c>
      <c r="H523" s="45" t="s">
        <v>395</v>
      </c>
      <c r="I523" s="45" t="s">
        <v>395</v>
      </c>
      <c r="J523" s="129">
        <f t="shared" si="0"/>
        <v>0</v>
      </c>
      <c r="K523" s="73"/>
      <c r="L523" s="73"/>
      <c r="M523" s="73"/>
      <c r="N523" s="73"/>
      <c r="O523" s="73"/>
      <c r="P523" s="73"/>
      <c r="Q523" s="73"/>
      <c r="R523" s="73"/>
    </row>
    <row r="524" spans="1:18" ht="19.5" customHeight="1" x14ac:dyDescent="0.2">
      <c r="A524" s="46"/>
      <c r="B524" s="45" t="s">
        <v>395</v>
      </c>
      <c r="C524" s="45" t="s">
        <v>395</v>
      </c>
      <c r="D524" s="45" t="s">
        <v>395</v>
      </c>
      <c r="E524" s="45" t="s">
        <v>395</v>
      </c>
      <c r="F524" s="45" t="s">
        <v>395</v>
      </c>
      <c r="G524" s="45" t="s">
        <v>395</v>
      </c>
      <c r="H524" s="45" t="s">
        <v>395</v>
      </c>
      <c r="I524" s="45" t="s">
        <v>395</v>
      </c>
      <c r="J524" s="129">
        <f t="shared" si="0"/>
        <v>0</v>
      </c>
      <c r="K524" s="73"/>
      <c r="L524" s="73"/>
      <c r="M524" s="73"/>
      <c r="N524" s="73"/>
      <c r="O524" s="73"/>
      <c r="P524" s="73"/>
      <c r="Q524" s="73"/>
      <c r="R524" s="73"/>
    </row>
    <row r="525" spans="1:18" ht="19.5" customHeight="1" x14ac:dyDescent="0.2">
      <c r="A525" s="44"/>
      <c r="B525" s="45" t="s">
        <v>395</v>
      </c>
      <c r="C525" s="45" t="s">
        <v>395</v>
      </c>
      <c r="D525" s="45" t="s">
        <v>395</v>
      </c>
      <c r="E525" s="45" t="s">
        <v>395</v>
      </c>
      <c r="F525" s="45" t="s">
        <v>395</v>
      </c>
      <c r="G525" s="45" t="s">
        <v>395</v>
      </c>
      <c r="H525" s="45" t="s">
        <v>395</v>
      </c>
      <c r="I525" s="45" t="s">
        <v>395</v>
      </c>
      <c r="J525" s="129">
        <f t="shared" si="0"/>
        <v>0</v>
      </c>
      <c r="K525" s="73"/>
      <c r="L525" s="73"/>
      <c r="M525" s="73"/>
      <c r="N525" s="73"/>
      <c r="O525" s="73"/>
      <c r="P525" s="73"/>
      <c r="Q525" s="73"/>
      <c r="R525" s="73"/>
    </row>
    <row r="526" spans="1:18" ht="19.5" customHeight="1" x14ac:dyDescent="0.2">
      <c r="A526" s="46"/>
      <c r="B526" s="45" t="s">
        <v>395</v>
      </c>
      <c r="C526" s="45" t="s">
        <v>395</v>
      </c>
      <c r="D526" s="45" t="s">
        <v>395</v>
      </c>
      <c r="E526" s="45" t="s">
        <v>395</v>
      </c>
      <c r="F526" s="45" t="s">
        <v>395</v>
      </c>
      <c r="G526" s="45" t="s">
        <v>395</v>
      </c>
      <c r="H526" s="45" t="s">
        <v>395</v>
      </c>
      <c r="I526" s="45" t="s">
        <v>395</v>
      </c>
      <c r="J526" s="129">
        <f t="shared" si="0"/>
        <v>0</v>
      </c>
      <c r="K526" s="73"/>
      <c r="L526" s="73"/>
      <c r="M526" s="73"/>
      <c r="N526" s="73"/>
      <c r="O526" s="73"/>
      <c r="P526" s="73"/>
      <c r="Q526" s="73"/>
      <c r="R526" s="73"/>
    </row>
    <row r="527" spans="1:18" ht="19.5" customHeight="1" x14ac:dyDescent="0.2">
      <c r="A527" s="44"/>
      <c r="B527" s="45" t="s">
        <v>395</v>
      </c>
      <c r="C527" s="45" t="s">
        <v>395</v>
      </c>
      <c r="D527" s="45" t="s">
        <v>395</v>
      </c>
      <c r="E527" s="45" t="s">
        <v>395</v>
      </c>
      <c r="F527" s="45" t="s">
        <v>395</v>
      </c>
      <c r="G527" s="45" t="s">
        <v>395</v>
      </c>
      <c r="H527" s="45" t="s">
        <v>395</v>
      </c>
      <c r="I527" s="45" t="s">
        <v>395</v>
      </c>
      <c r="J527" s="129">
        <f t="shared" si="0"/>
        <v>0</v>
      </c>
      <c r="K527" s="73"/>
      <c r="L527" s="73"/>
      <c r="M527" s="73"/>
      <c r="N527" s="73"/>
      <c r="O527" s="73"/>
      <c r="P527" s="73"/>
      <c r="Q527" s="73"/>
      <c r="R527" s="73"/>
    </row>
    <row r="528" spans="1:18" ht="19.5" customHeight="1" x14ac:dyDescent="0.2">
      <c r="A528" s="46"/>
      <c r="B528" s="45" t="s">
        <v>395</v>
      </c>
      <c r="C528" s="45" t="s">
        <v>395</v>
      </c>
      <c r="D528" s="45" t="s">
        <v>395</v>
      </c>
      <c r="E528" s="45" t="s">
        <v>395</v>
      </c>
      <c r="F528" s="45" t="s">
        <v>395</v>
      </c>
      <c r="G528" s="45" t="s">
        <v>395</v>
      </c>
      <c r="H528" s="45" t="s">
        <v>395</v>
      </c>
      <c r="I528" s="45" t="s">
        <v>395</v>
      </c>
      <c r="J528" s="129">
        <f t="shared" si="0"/>
        <v>0</v>
      </c>
      <c r="K528" s="73"/>
      <c r="L528" s="73"/>
      <c r="M528" s="73"/>
      <c r="N528" s="73"/>
      <c r="O528" s="73"/>
      <c r="P528" s="73"/>
      <c r="Q528" s="73"/>
      <c r="R528" s="73"/>
    </row>
    <row r="529" spans="1:18" ht="19.5" customHeight="1" x14ac:dyDescent="0.2">
      <c r="A529" s="44"/>
      <c r="B529" s="45" t="s">
        <v>395</v>
      </c>
      <c r="C529" s="45" t="s">
        <v>395</v>
      </c>
      <c r="D529" s="45" t="s">
        <v>395</v>
      </c>
      <c r="E529" s="45" t="s">
        <v>395</v>
      </c>
      <c r="F529" s="45" t="s">
        <v>395</v>
      </c>
      <c r="G529" s="45" t="s">
        <v>395</v>
      </c>
      <c r="H529" s="45" t="s">
        <v>395</v>
      </c>
      <c r="I529" s="45" t="s">
        <v>395</v>
      </c>
      <c r="J529" s="129">
        <f t="shared" si="0"/>
        <v>0</v>
      </c>
      <c r="K529" s="73"/>
      <c r="L529" s="73"/>
      <c r="M529" s="73"/>
      <c r="N529" s="73"/>
      <c r="O529" s="73"/>
      <c r="P529" s="73"/>
      <c r="Q529" s="73"/>
      <c r="R529" s="73"/>
    </row>
    <row r="530" spans="1:18" ht="19.5" customHeight="1" x14ac:dyDescent="0.2">
      <c r="A530" s="46"/>
      <c r="B530" s="45" t="s">
        <v>395</v>
      </c>
      <c r="C530" s="45" t="s">
        <v>395</v>
      </c>
      <c r="D530" s="45" t="s">
        <v>395</v>
      </c>
      <c r="E530" s="45" t="s">
        <v>395</v>
      </c>
      <c r="F530" s="45" t="s">
        <v>395</v>
      </c>
      <c r="G530" s="45" t="s">
        <v>395</v>
      </c>
      <c r="H530" s="45" t="s">
        <v>395</v>
      </c>
      <c r="I530" s="45" t="s">
        <v>395</v>
      </c>
      <c r="J530" s="129">
        <f t="shared" si="0"/>
        <v>0</v>
      </c>
      <c r="K530" s="73"/>
      <c r="L530" s="73"/>
      <c r="M530" s="73"/>
      <c r="N530" s="73"/>
      <c r="O530" s="73"/>
      <c r="P530" s="73"/>
      <c r="Q530" s="73"/>
      <c r="R530" s="73"/>
    </row>
    <row r="531" spans="1:18" ht="19.5" customHeight="1" x14ac:dyDescent="0.2">
      <c r="A531" s="44"/>
      <c r="B531" s="45" t="s">
        <v>395</v>
      </c>
      <c r="C531" s="45" t="s">
        <v>395</v>
      </c>
      <c r="D531" s="45" t="s">
        <v>395</v>
      </c>
      <c r="E531" s="45" t="s">
        <v>395</v>
      </c>
      <c r="F531" s="45" t="s">
        <v>395</v>
      </c>
      <c r="G531" s="45" t="s">
        <v>395</v>
      </c>
      <c r="H531" s="45" t="s">
        <v>395</v>
      </c>
      <c r="I531" s="45" t="s">
        <v>395</v>
      </c>
      <c r="J531" s="129">
        <f t="shared" si="0"/>
        <v>0</v>
      </c>
      <c r="K531" s="73"/>
      <c r="L531" s="73"/>
      <c r="M531" s="73"/>
      <c r="N531" s="73"/>
      <c r="O531" s="73"/>
      <c r="P531" s="73"/>
      <c r="Q531" s="73"/>
      <c r="R531" s="73"/>
    </row>
    <row r="532" spans="1:18" ht="19.5" customHeight="1" x14ac:dyDescent="0.2">
      <c r="A532" s="46"/>
      <c r="B532" s="45" t="s">
        <v>395</v>
      </c>
      <c r="C532" s="45" t="s">
        <v>395</v>
      </c>
      <c r="D532" s="45" t="s">
        <v>395</v>
      </c>
      <c r="E532" s="45" t="s">
        <v>395</v>
      </c>
      <c r="F532" s="45" t="s">
        <v>395</v>
      </c>
      <c r="G532" s="45" t="s">
        <v>395</v>
      </c>
      <c r="H532" s="45" t="s">
        <v>395</v>
      </c>
      <c r="I532" s="45" t="s">
        <v>395</v>
      </c>
      <c r="J532" s="129">
        <f t="shared" si="0"/>
        <v>0</v>
      </c>
      <c r="K532" s="73"/>
      <c r="L532" s="73"/>
      <c r="M532" s="73"/>
      <c r="N532" s="73"/>
      <c r="O532" s="73"/>
      <c r="P532" s="73"/>
      <c r="Q532" s="73"/>
      <c r="R532" s="73"/>
    </row>
    <row r="533" spans="1:18" ht="19.5" customHeight="1" x14ac:dyDescent="0.2">
      <c r="A533" s="44"/>
      <c r="B533" s="45" t="s">
        <v>395</v>
      </c>
      <c r="C533" s="45" t="s">
        <v>395</v>
      </c>
      <c r="D533" s="45" t="s">
        <v>395</v>
      </c>
      <c r="E533" s="45" t="s">
        <v>395</v>
      </c>
      <c r="F533" s="45" t="s">
        <v>395</v>
      </c>
      <c r="G533" s="45" t="s">
        <v>395</v>
      </c>
      <c r="H533" s="45" t="s">
        <v>395</v>
      </c>
      <c r="I533" s="45" t="s">
        <v>395</v>
      </c>
      <c r="J533" s="129">
        <f t="shared" si="0"/>
        <v>0</v>
      </c>
      <c r="K533" s="73"/>
      <c r="L533" s="73"/>
      <c r="M533" s="73"/>
      <c r="N533" s="73"/>
      <c r="O533" s="73"/>
      <c r="P533" s="73"/>
      <c r="Q533" s="73"/>
      <c r="R533" s="73"/>
    </row>
    <row r="534" spans="1:18" ht="19.5" customHeight="1" x14ac:dyDescent="0.2">
      <c r="A534" s="46"/>
      <c r="B534" s="45" t="s">
        <v>395</v>
      </c>
      <c r="C534" s="45" t="s">
        <v>395</v>
      </c>
      <c r="D534" s="45" t="s">
        <v>395</v>
      </c>
      <c r="E534" s="45" t="s">
        <v>395</v>
      </c>
      <c r="F534" s="45" t="s">
        <v>395</v>
      </c>
      <c r="G534" s="45" t="s">
        <v>395</v>
      </c>
      <c r="H534" s="45" t="s">
        <v>395</v>
      </c>
      <c r="I534" s="45" t="s">
        <v>395</v>
      </c>
      <c r="J534" s="129">
        <f t="shared" si="0"/>
        <v>0</v>
      </c>
      <c r="K534" s="73"/>
      <c r="L534" s="73"/>
      <c r="M534" s="73"/>
      <c r="N534" s="73"/>
      <c r="O534" s="73"/>
      <c r="P534" s="73"/>
      <c r="Q534" s="73"/>
      <c r="R534" s="73"/>
    </row>
    <row r="535" spans="1:18" ht="19.5" customHeight="1" x14ac:dyDescent="0.2">
      <c r="A535" s="44"/>
      <c r="B535" s="45" t="s">
        <v>395</v>
      </c>
      <c r="C535" s="45" t="s">
        <v>395</v>
      </c>
      <c r="D535" s="45" t="s">
        <v>395</v>
      </c>
      <c r="E535" s="45" t="s">
        <v>395</v>
      </c>
      <c r="F535" s="45" t="s">
        <v>395</v>
      </c>
      <c r="G535" s="45" t="s">
        <v>395</v>
      </c>
      <c r="H535" s="45" t="s">
        <v>395</v>
      </c>
      <c r="I535" s="45" t="s">
        <v>395</v>
      </c>
      <c r="J535" s="129">
        <f t="shared" si="0"/>
        <v>0</v>
      </c>
      <c r="K535" s="73"/>
      <c r="L535" s="73"/>
      <c r="M535" s="73"/>
      <c r="N535" s="73"/>
      <c r="O535" s="73"/>
      <c r="P535" s="73"/>
      <c r="Q535" s="73"/>
      <c r="R535" s="73"/>
    </row>
    <row r="536" spans="1:18" ht="19.5" customHeight="1" x14ac:dyDescent="0.2">
      <c r="A536" s="46"/>
      <c r="B536" s="45" t="s">
        <v>395</v>
      </c>
      <c r="C536" s="45" t="s">
        <v>395</v>
      </c>
      <c r="D536" s="45" t="s">
        <v>395</v>
      </c>
      <c r="E536" s="45" t="s">
        <v>395</v>
      </c>
      <c r="F536" s="45" t="s">
        <v>395</v>
      </c>
      <c r="G536" s="45" t="s">
        <v>395</v>
      </c>
      <c r="H536" s="45" t="s">
        <v>395</v>
      </c>
      <c r="I536" s="45" t="s">
        <v>395</v>
      </c>
      <c r="J536" s="129">
        <f t="shared" si="0"/>
        <v>0</v>
      </c>
      <c r="K536" s="73"/>
      <c r="L536" s="73"/>
      <c r="M536" s="73"/>
      <c r="N536" s="73"/>
      <c r="O536" s="73"/>
      <c r="P536" s="73"/>
      <c r="Q536" s="73"/>
      <c r="R536" s="73"/>
    </row>
  </sheetData>
  <mergeCells count="38">
    <mergeCell ref="A5:D5"/>
    <mergeCell ref="J534:R534"/>
    <mergeCell ref="J521:R521"/>
    <mergeCell ref="J530:R530"/>
    <mergeCell ref="J520:R520"/>
    <mergeCell ref="Q6:R7"/>
    <mergeCell ref="J527:R527"/>
    <mergeCell ref="J536:R536"/>
    <mergeCell ref="J532:R532"/>
    <mergeCell ref="J526:R526"/>
    <mergeCell ref="A6:D7"/>
    <mergeCell ref="J517:R517"/>
    <mergeCell ref="J535:R535"/>
    <mergeCell ref="J525:R525"/>
    <mergeCell ref="J528:R528"/>
    <mergeCell ref="J522:R522"/>
    <mergeCell ref="J531:R531"/>
    <mergeCell ref="J524:R524"/>
    <mergeCell ref="J533:R533"/>
    <mergeCell ref="J523:R523"/>
    <mergeCell ref="J529:R529"/>
    <mergeCell ref="J519:R519"/>
    <mergeCell ref="A1:R1"/>
    <mergeCell ref="J518:R518"/>
    <mergeCell ref="I5:L5"/>
    <mergeCell ref="A3:R3"/>
    <mergeCell ref="J516:R516"/>
    <mergeCell ref="A2:R2"/>
    <mergeCell ref="A515:R515"/>
    <mergeCell ref="Q5:R5"/>
    <mergeCell ref="E6:H7"/>
    <mergeCell ref="M6:P7"/>
    <mergeCell ref="A8:R8"/>
    <mergeCell ref="E5:H5"/>
    <mergeCell ref="A4:R4"/>
    <mergeCell ref="M5:P5"/>
    <mergeCell ref="A9:R9"/>
    <mergeCell ref="I6:L7"/>
  </mergeCells>
  <dataValidations count="5">
    <dataValidation type="list" allowBlank="1" sqref="D11:D500" xr:uid="{00000000-0002-0000-0600-000000000000}">
      <formula1>"Staff,Volunteer,Partner/Community,Service User"</formula1>
      <formula2>0</formula2>
    </dataValidation>
    <dataValidation type="list" allowBlank="1" sqref="E11:E500" xr:uid="{00000000-0002-0000-0600-000001000000}">
      <formula1>"Year 1,Year 2,Year 3,Year 4,Year 5"</formula1>
      <formula2>0</formula2>
    </dataValidation>
    <dataValidation type="list" allowBlank="1" sqref="J11:J500" xr:uid="{00000000-0002-0000-0600-000002000000}">
      <formula1>"Ealing,Hillingdon,Hounslow,All,Online"</formula1>
      <formula2>0</formula2>
    </dataValidation>
    <dataValidation type="list" allowBlank="1" sqref="K11:K500" xr:uid="{00000000-0002-0000-0600-000003000000}">
      <formula1>"In-person,Online,Hybrid,Self-directed"</formula1>
      <formula2>0</formula2>
    </dataValidation>
    <dataValidation type="list" allowBlank="1" sqref="N11:N500 Q11:Q500" xr:uid="{00000000-0002-0000-0600-000004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3"/>
  <sheetViews>
    <sheetView showGridLines="0" zoomScale="80" zoomScaleNormal="80" workbookViewId="0">
      <selection sqref="A1:Z1"/>
    </sheetView>
  </sheetViews>
  <sheetFormatPr baseColWidth="10" defaultColWidth="8.83203125" defaultRowHeight="15" customHeight="1" x14ac:dyDescent="0.2"/>
  <cols>
    <col min="1" max="1" width="30" customWidth="1"/>
    <col min="2" max="26" width="14" customWidth="1"/>
  </cols>
  <sheetData>
    <row r="1" spans="1:26" ht="43.5" customHeight="1" x14ac:dyDescent="0.2">
      <c r="A1" s="109" t="s">
        <v>396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21.75" customHeight="1" x14ac:dyDescent="0.2">
      <c r="A2" s="112" t="s">
        <v>397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7.5" customHeight="1" x14ac:dyDescent="0.2">
      <c r="A3" s="8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25.5" customHeight="1" x14ac:dyDescent="0.2">
      <c r="A4" s="135" t="s">
        <v>398</v>
      </c>
      <c r="B4" s="73"/>
      <c r="C4" s="73"/>
      <c r="D4" s="73"/>
      <c r="E4" s="73"/>
      <c r="F4" s="73"/>
      <c r="G4" s="73"/>
      <c r="H4" s="73"/>
      <c r="I4" s="73"/>
      <c r="J4" s="73"/>
      <c r="K4" s="73"/>
      <c r="M4" s="134" t="s">
        <v>399</v>
      </c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7.75" customHeight="1" x14ac:dyDescent="0.2">
      <c r="A5" s="1" t="s">
        <v>400</v>
      </c>
      <c r="B5" s="1" t="s">
        <v>261</v>
      </c>
      <c r="C5" s="1" t="s">
        <v>401</v>
      </c>
      <c r="D5" s="1" t="s">
        <v>262</v>
      </c>
      <c r="E5" s="1" t="s">
        <v>402</v>
      </c>
      <c r="F5" s="1" t="s">
        <v>263</v>
      </c>
      <c r="G5" s="1" t="s">
        <v>403</v>
      </c>
      <c r="H5" s="1" t="s">
        <v>264</v>
      </c>
      <c r="I5" s="1" t="s">
        <v>404</v>
      </c>
      <c r="J5" s="1" t="s">
        <v>265</v>
      </c>
      <c r="K5" s="1" t="s">
        <v>405</v>
      </c>
      <c r="M5" s="1" t="s">
        <v>28</v>
      </c>
      <c r="N5" s="1" t="s">
        <v>406</v>
      </c>
      <c r="O5" s="1" t="s">
        <v>407</v>
      </c>
      <c r="P5" s="1" t="s">
        <v>408</v>
      </c>
      <c r="Q5" s="1" t="s">
        <v>409</v>
      </c>
      <c r="R5" s="1" t="s">
        <v>410</v>
      </c>
      <c r="S5" s="1" t="s">
        <v>29</v>
      </c>
    </row>
    <row r="6" spans="1:26" ht="19.5" customHeight="1" x14ac:dyDescent="0.2">
      <c r="A6" s="2" t="s">
        <v>411</v>
      </c>
      <c r="B6" s="47">
        <v>50</v>
      </c>
      <c r="C6" s="48">
        <f>COUNTIFS('📋 Client Intake'!AB5:AB1004,"Year 1")</f>
        <v>4</v>
      </c>
      <c r="D6" s="47">
        <v>100</v>
      </c>
      <c r="E6" s="48">
        <f>COUNTIFS('📋 Client Intake'!AB5:AB1004,"Year 2")</f>
        <v>2</v>
      </c>
      <c r="F6" s="47">
        <v>150</v>
      </c>
      <c r="G6" s="48">
        <f>COUNTIFS('📋 Client Intake'!AB5:AB1004,"Year 3")</f>
        <v>0</v>
      </c>
      <c r="H6" s="47">
        <v>200</v>
      </c>
      <c r="I6" s="48">
        <f>COUNTIFS('📋 Client Intake'!AB5:AB1004,"Year 4")</f>
        <v>0</v>
      </c>
      <c r="J6" s="47">
        <v>250</v>
      </c>
      <c r="K6" s="48">
        <f>COUNTIFS('📋 Client Intake'!AB5:AB1004,"Year 5")</f>
        <v>0</v>
      </c>
      <c r="M6" s="49" t="s">
        <v>412</v>
      </c>
      <c r="N6" s="50">
        <f>IFERROR(COUNTIFS('📊 Outcome Tracker'!E5:E1004,"Yes",'📊 Outcome Tracker'!H5:H1004,"Year 1")/COUNTIFS('📊 Outcome Tracker'!H5:H1004,"Year 1",'📊 Outcome Tracker'!A5:A1004,"&lt;&gt;"""),0)</f>
        <v>0</v>
      </c>
      <c r="O6" s="50">
        <f>IFERROR(COUNTIFS('📊 Outcome Tracker'!E5:E1004,"Yes",'📊 Outcome Tracker'!H5:H1004,"Year 2")/COUNTIFS('📊 Outcome Tracker'!H5:H1004,"Year 2",'📊 Outcome Tracker'!A5:A1004,"&lt;&gt;"""),0)</f>
        <v>0</v>
      </c>
      <c r="P6" s="50">
        <f>IFERROR(COUNTIFS('📊 Outcome Tracker'!E5:E1004,"Yes",'📊 Outcome Tracker'!H5:H1004,"Year 3")/COUNTIFS('📊 Outcome Tracker'!H5:H1004,"Year 3",'📊 Outcome Tracker'!A5:A1004,"&lt;&gt;"""),0)</f>
        <v>0</v>
      </c>
      <c r="Q6" s="50">
        <f>IFERROR(COUNTIFS('📊 Outcome Tracker'!E5:E1004,"Yes",'📊 Outcome Tracker'!H5:H1004,"Year 4")/COUNTIFS('📊 Outcome Tracker'!H5:H1004,"Year 4",'📊 Outcome Tracker'!A5:A1004,"&lt;&gt;"""),0)</f>
        <v>0</v>
      </c>
      <c r="R6" s="50">
        <f>IFERROR(COUNTIFS('📊 Outcome Tracker'!E5:E1004,"Yes",'📊 Outcome Tracker'!H5:H1004,"Year 5")/COUNTIFS('📊 Outcome Tracker'!H5:H1004,"Year 5",'📊 Outcome Tracker'!A5:A1004,"&lt;&gt;"""),0)</f>
        <v>0</v>
      </c>
      <c r="S6" s="51" t="s">
        <v>413</v>
      </c>
    </row>
    <row r="7" spans="1:26" ht="19.5" customHeight="1" x14ac:dyDescent="0.2">
      <c r="A7" s="5" t="s">
        <v>414</v>
      </c>
      <c r="B7" s="47">
        <v>10</v>
      </c>
      <c r="C7" s="52">
        <f>COUNTIFS('📅 Activities'!C18:C1000,"Workshop",'📅 Activities'!I18:I1000,"Year 1")</f>
        <v>1</v>
      </c>
      <c r="D7" s="47">
        <v>15</v>
      </c>
      <c r="E7" s="52">
        <f>COUNTIFS('📅 Activities'!C18:C1000,"Workshop",'📅 Activities'!I18:I1000,"Year 2")</f>
        <v>0</v>
      </c>
      <c r="F7" s="47">
        <v>15</v>
      </c>
      <c r="G7" s="52">
        <f>COUNTIFS('📅 Activities'!C18:C1000,"Workshop",'📅 Activities'!I18:I1000,"Year 3")</f>
        <v>0</v>
      </c>
      <c r="H7" s="47">
        <v>15</v>
      </c>
      <c r="I7" s="52">
        <f>COUNTIFS('📅 Activities'!C18:C1000,"Workshop",'📅 Activities'!I18:I1000,"Year 4")</f>
        <v>0</v>
      </c>
      <c r="J7" s="47">
        <v>15</v>
      </c>
      <c r="K7" s="52">
        <f>COUNTIFS('📅 Activities'!C18:C1000,"Workshop",'📅 Activities'!I18:I1000,"Year 5")</f>
        <v>0</v>
      </c>
      <c r="M7" s="53" t="s">
        <v>415</v>
      </c>
      <c r="N7" s="54">
        <f>IFERROR(COUNTIFS('📊 Outcome Tracker'!F5:F1004,"Yes",'📊 Outcome Tracker'!H5:H1004,"Year 1")/COUNTIFS('📊 Outcome Tracker'!H5:H1004,"Year 1",'📊 Outcome Tracker'!A5:A1004,"&lt;&gt;"""),0)</f>
        <v>0</v>
      </c>
      <c r="O7" s="54">
        <f>IFERROR(COUNTIFS('📊 Outcome Tracker'!F5:F1004,"Yes",'📊 Outcome Tracker'!H5:H1004,"Year 2")/COUNTIFS('📊 Outcome Tracker'!H5:H1004,"Year 2",'📊 Outcome Tracker'!A5:A1004,"&lt;&gt;"""),0)</f>
        <v>0</v>
      </c>
      <c r="P7" s="54">
        <f>IFERROR(COUNTIFS('📊 Outcome Tracker'!F5:F1004,"Yes",'📊 Outcome Tracker'!H5:H1004,"Year 3")/COUNTIFS('📊 Outcome Tracker'!H5:H1004,"Year 3",'📊 Outcome Tracker'!A5:A1004,"&lt;&gt;"""),0)</f>
        <v>0</v>
      </c>
      <c r="Q7" s="54">
        <f>IFERROR(COUNTIFS('📊 Outcome Tracker'!F5:F1004,"Yes",'📊 Outcome Tracker'!H5:H1004,"Year 4")/COUNTIFS('📊 Outcome Tracker'!H5:H1004,"Year 4",'📊 Outcome Tracker'!A5:A1004,"&lt;&gt;"""),0)</f>
        <v>0</v>
      </c>
      <c r="R7" s="54">
        <f>IFERROR(COUNTIFS('📊 Outcome Tracker'!F5:F1004,"Yes",'📊 Outcome Tracker'!H5:H1004,"Year 5")/COUNTIFS('📊 Outcome Tracker'!H5:H1004,"Year 5",'📊 Outcome Tracker'!A5:A1004,"&lt;&gt;"""),0)</f>
        <v>0</v>
      </c>
      <c r="S7" s="51" t="s">
        <v>416</v>
      </c>
    </row>
    <row r="8" spans="1:26" ht="19.5" customHeight="1" x14ac:dyDescent="0.2">
      <c r="A8" s="2" t="s">
        <v>417</v>
      </c>
      <c r="B8" s="47">
        <v>5</v>
      </c>
      <c r="C8" s="55">
        <v>0</v>
      </c>
      <c r="D8" s="47">
        <v>10</v>
      </c>
      <c r="E8" s="55">
        <v>0</v>
      </c>
      <c r="F8" s="47">
        <v>15</v>
      </c>
      <c r="G8" s="55">
        <v>0</v>
      </c>
      <c r="H8" s="47">
        <v>18</v>
      </c>
      <c r="I8" s="55">
        <v>0</v>
      </c>
      <c r="J8" s="47">
        <v>20</v>
      </c>
      <c r="K8" s="55">
        <v>0</v>
      </c>
      <c r="M8" s="49" t="s">
        <v>418</v>
      </c>
      <c r="N8" s="50">
        <f>IFERROR(COUNTIFS('📊 Outcome Tracker'!G5:G1004,"Yes",'📊 Outcome Tracker'!H5:H1004,"Year 1")/COUNTIFS('📊 Outcome Tracker'!H5:H1004,"Year 1",'📊 Outcome Tracker'!A5:A1004,"&lt;&gt;"""),0)</f>
        <v>0</v>
      </c>
      <c r="O8" s="50">
        <f>IFERROR(COUNTIFS('📊 Outcome Tracker'!G5:G1004,"Yes",'📊 Outcome Tracker'!H5:H1004,"Year 2")/COUNTIFS('📊 Outcome Tracker'!H5:H1004,"Year 2",'📊 Outcome Tracker'!A5:A1004,"&lt;&gt;"""),0)</f>
        <v>0</v>
      </c>
      <c r="P8" s="50">
        <f>IFERROR(COUNTIFS('📊 Outcome Tracker'!G5:G1004,"Yes",'📊 Outcome Tracker'!H5:H1004,"Year 3")/COUNTIFS('📊 Outcome Tracker'!H5:H1004,"Year 3",'📊 Outcome Tracker'!A5:A1004,"&lt;&gt;"""),0)</f>
        <v>0</v>
      </c>
      <c r="Q8" s="50">
        <f>IFERROR(COUNTIFS('📊 Outcome Tracker'!G5:G1004,"Yes",'📊 Outcome Tracker'!H5:H1004,"Year 4")/COUNTIFS('📊 Outcome Tracker'!H5:H1004,"Year 4",'📊 Outcome Tracker'!A5:A1004,"&lt;&gt;"""),0)</f>
        <v>0</v>
      </c>
      <c r="R8" s="50">
        <f>IFERROR(COUNTIFS('📊 Outcome Tracker'!G5:G1004,"Yes",'📊 Outcome Tracker'!H5:H1004,"Year 5")/COUNTIFS('📊 Outcome Tracker'!H5:H1004,"Year 5",'📊 Outcome Tracker'!A5:A1004,"&lt;&gt;"""),0)</f>
        <v>0</v>
      </c>
      <c r="S8" s="51" t="s">
        <v>419</v>
      </c>
    </row>
    <row r="9" spans="1:26" ht="19.5" customHeight="1" x14ac:dyDescent="0.2">
      <c r="M9" s="53" t="s">
        <v>420</v>
      </c>
      <c r="N9" s="54">
        <f>IFERROR(COUNTIFS('📊 Outcome Tracker'!H5:H1004,"Yes",'📊 Outcome Tracker'!H5:H1004,"Year 1")/COUNTIFS('📊 Outcome Tracker'!H5:H1004,"Year 1",'📊 Outcome Tracker'!A5:A1004,"&lt;&gt;"""),0)</f>
        <v>0</v>
      </c>
      <c r="O9" s="54">
        <f>IFERROR(COUNTIFS('📊 Outcome Tracker'!H5:H1004,"Yes",'📊 Outcome Tracker'!H5:H1004,"Year 2")/COUNTIFS('📊 Outcome Tracker'!H5:H1004,"Year 2",'📊 Outcome Tracker'!A5:A1004,"&lt;&gt;"""),0)</f>
        <v>0</v>
      </c>
      <c r="P9" s="54">
        <f>IFERROR(COUNTIFS('📊 Outcome Tracker'!H5:H1004,"Yes",'📊 Outcome Tracker'!H5:H1004,"Year 3")/COUNTIFS('📊 Outcome Tracker'!H5:H1004,"Year 3",'📊 Outcome Tracker'!A5:A1004,"&lt;&gt;"""),0)</f>
        <v>0</v>
      </c>
      <c r="Q9" s="54">
        <f>IFERROR(COUNTIFS('📊 Outcome Tracker'!H5:H1004,"Yes",'📊 Outcome Tracker'!H5:H1004,"Year 4")/COUNTIFS('📊 Outcome Tracker'!H5:H1004,"Year 4",'📊 Outcome Tracker'!A5:A1004,"&lt;&gt;"""),0)</f>
        <v>0</v>
      </c>
      <c r="R9" s="54">
        <f>IFERROR(COUNTIFS('📊 Outcome Tracker'!H5:H1004,"Yes",'📊 Outcome Tracker'!H5:H1004,"Year 5")/COUNTIFS('📊 Outcome Tracker'!H5:H1004,"Year 5",'📊 Outcome Tracker'!A5:A1004,"&lt;&gt;"""),0)</f>
        <v>0</v>
      </c>
      <c r="S9" s="51" t="s">
        <v>421</v>
      </c>
    </row>
    <row r="10" spans="1:26" ht="19.5" customHeight="1" x14ac:dyDescent="0.2">
      <c r="M10" s="49" t="s">
        <v>422</v>
      </c>
      <c r="N10" s="50">
        <f>IFERROR(COUNTIFS('📊 Outcome Tracker'!I5:I1004,"Yes",'📊 Outcome Tracker'!H5:H1004,"Year 1")/COUNTIFS('📊 Outcome Tracker'!H5:H1004,"Year 1",'📊 Outcome Tracker'!A5:A1004,"&lt;&gt;"""),0)</f>
        <v>0</v>
      </c>
      <c r="O10" s="50">
        <f>IFERROR(COUNTIFS('📊 Outcome Tracker'!I5:I1004,"Yes",'📊 Outcome Tracker'!H5:H1004,"Year 2")/COUNTIFS('📊 Outcome Tracker'!H5:H1004,"Year 2",'📊 Outcome Tracker'!A5:A1004,"&lt;&gt;"""),0)</f>
        <v>0</v>
      </c>
      <c r="P10" s="50">
        <f>IFERROR(COUNTIFS('📊 Outcome Tracker'!I5:I1004,"Yes",'📊 Outcome Tracker'!H5:H1004,"Year 3")/COUNTIFS('📊 Outcome Tracker'!H5:H1004,"Year 3",'📊 Outcome Tracker'!A5:A1004,"&lt;&gt;"""),0)</f>
        <v>0</v>
      </c>
      <c r="Q10" s="50">
        <f>IFERROR(COUNTIFS('📊 Outcome Tracker'!I5:I1004,"Yes",'📊 Outcome Tracker'!H5:H1004,"Year 4")/COUNTIFS('📊 Outcome Tracker'!H5:H1004,"Year 4",'📊 Outcome Tracker'!A5:A1004,"&lt;&gt;"""),0)</f>
        <v>0</v>
      </c>
      <c r="R10" s="50">
        <f>IFERROR(COUNTIFS('📊 Outcome Tracker'!I5:I1004,"Yes",'📊 Outcome Tracker'!H5:H1004,"Year 5")/COUNTIFS('📊 Outcome Tracker'!H5:H1004,"Year 5",'📊 Outcome Tracker'!A5:A1004,"&lt;&gt;"""),0)</f>
        <v>0</v>
      </c>
      <c r="S10" s="51" t="s">
        <v>423</v>
      </c>
    </row>
    <row r="27" spans="1:26" ht="25.5" customHeight="1" x14ac:dyDescent="0.2">
      <c r="A27" s="133" t="s">
        <v>424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M27" s="132" t="s">
        <v>425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21.75" customHeight="1" x14ac:dyDescent="0.2">
      <c r="A28" s="1" t="s">
        <v>256</v>
      </c>
      <c r="B28" s="1" t="s">
        <v>50</v>
      </c>
      <c r="C28" s="1" t="s">
        <v>51</v>
      </c>
      <c r="D28" s="1" t="s">
        <v>52</v>
      </c>
      <c r="E28" s="1" t="s">
        <v>426</v>
      </c>
      <c r="M28" s="1" t="s">
        <v>256</v>
      </c>
      <c r="N28" s="1" t="s">
        <v>60</v>
      </c>
      <c r="O28" s="1" t="s">
        <v>130</v>
      </c>
      <c r="P28" s="1" t="s">
        <v>154</v>
      </c>
      <c r="Q28" s="1" t="s">
        <v>427</v>
      </c>
      <c r="R28" s="1" t="s">
        <v>428</v>
      </c>
    </row>
    <row r="29" spans="1:26" ht="19.5" customHeight="1" x14ac:dyDescent="0.2">
      <c r="A29" s="56" t="s">
        <v>121</v>
      </c>
      <c r="B29" s="3">
        <f>COUNTIFS('📋 Client Intake'!G5:G1004,"Ealing",'📋 Client Intake'!AB5:AB1004,"Year 1")</f>
        <v>2</v>
      </c>
      <c r="C29" s="3">
        <f>COUNTIFS('📋 Client Intake'!G5:G1004,"Hillingdon",'📋 Client Intake'!AB5:AB1004,"Year 1")</f>
        <v>1</v>
      </c>
      <c r="D29" s="3">
        <f>COUNTIFS('📋 Client Intake'!G5:G1004,"Hounslow",'📋 Client Intake'!AB5:AB1004,"Year 1")</f>
        <v>1</v>
      </c>
      <c r="E29" s="57">
        <f>B29+C29+D29</f>
        <v>4</v>
      </c>
      <c r="M29" s="56" t="s">
        <v>121</v>
      </c>
      <c r="N29" s="3">
        <f>COUNTIFS('📋 Client Intake'!M5:M1004,"High",'📋 Client Intake'!AB5:AB1004,"Year 1")</f>
        <v>2</v>
      </c>
      <c r="O29" s="3">
        <f>COUNTIFS('📋 Client Intake'!M5:M1004,"Medium",'📋 Client Intake'!AB5:AB1004,"Year 1")</f>
        <v>1</v>
      </c>
      <c r="P29" s="3">
        <f>COUNTIFS('📋 Client Intake'!M5:M1004,"Low",'📋 Client Intake'!AB5:AB1004,"Year 1")</f>
        <v>1</v>
      </c>
      <c r="Q29" s="3">
        <f>COUNTIFS('📋 Client Intake'!W5:W1004,"Yes",'📋 Client Intake'!AB5:AB1004,"Year 1")</f>
        <v>1</v>
      </c>
      <c r="R29" s="3">
        <f>COUNTIFS('📋 Client Intake'!W5:W1004,"No",'📋 Client Intake'!AB5:AB1004,"Year 1")</f>
        <v>1</v>
      </c>
    </row>
    <row r="30" spans="1:26" ht="19.5" customHeight="1" x14ac:dyDescent="0.2">
      <c r="A30" s="37" t="s">
        <v>166</v>
      </c>
      <c r="B30" s="6">
        <f>COUNTIFS('📋 Client Intake'!G5:G1004,"Ealing",'📋 Client Intake'!AB5:AB1004,"Year 2")</f>
        <v>1</v>
      </c>
      <c r="C30" s="6">
        <f>COUNTIFS('📋 Client Intake'!G5:G1004,"Hillingdon",'📋 Client Intake'!AB5:AB1004,"Year 2")</f>
        <v>1</v>
      </c>
      <c r="D30" s="6">
        <f>COUNTIFS('📋 Client Intake'!G5:G1004,"Hounslow",'📋 Client Intake'!AB5:AB1004,"Year 2")</f>
        <v>0</v>
      </c>
      <c r="E30" s="57">
        <f>B30+C30+D30</f>
        <v>2</v>
      </c>
      <c r="M30" s="37" t="s">
        <v>166</v>
      </c>
      <c r="N30" s="6">
        <f>COUNTIFS('📋 Client Intake'!M5:M1004,"High",'📋 Client Intake'!AB5:AB1004,"Year 2")</f>
        <v>1</v>
      </c>
      <c r="O30" s="6">
        <f>COUNTIFS('📋 Client Intake'!M5:M1004,"Medium",'📋 Client Intake'!AB5:AB1004,"Year 2")</f>
        <v>1</v>
      </c>
      <c r="P30" s="6">
        <f>COUNTIFS('📋 Client Intake'!M5:M1004,"Low",'📋 Client Intake'!AB5:AB1004,"Year 2")</f>
        <v>0</v>
      </c>
      <c r="Q30" s="6">
        <f>COUNTIFS('📋 Client Intake'!W5:W1004,"Yes",'📋 Client Intake'!AB5:AB1004,"Year 2")</f>
        <v>0</v>
      </c>
      <c r="R30" s="6">
        <f>COUNTIFS('📋 Client Intake'!W5:W1004,"No",'📋 Client Intake'!AB5:AB1004,"Year 2")</f>
        <v>1</v>
      </c>
    </row>
    <row r="31" spans="1:26" ht="19.5" customHeight="1" x14ac:dyDescent="0.2">
      <c r="A31" s="56" t="s">
        <v>229</v>
      </c>
      <c r="B31" s="3">
        <f>COUNTIFS('📋 Client Intake'!G5:G1004,"Ealing",'📋 Client Intake'!AB5:AB1004,"Year 3")</f>
        <v>0</v>
      </c>
      <c r="C31" s="3">
        <f>COUNTIFS('📋 Client Intake'!G5:G1004,"Hillingdon",'📋 Client Intake'!AB5:AB1004,"Year 3")</f>
        <v>0</v>
      </c>
      <c r="D31" s="3">
        <f>COUNTIFS('📋 Client Intake'!G5:G1004,"Hounslow",'📋 Client Intake'!AB5:AB1004,"Year 3")</f>
        <v>0</v>
      </c>
      <c r="E31" s="57">
        <f>B31+C31+D31</f>
        <v>0</v>
      </c>
      <c r="M31" s="56" t="s">
        <v>229</v>
      </c>
      <c r="N31" s="3">
        <f>COUNTIFS('📋 Client Intake'!M5:M1004,"High",'📋 Client Intake'!AB5:AB1004,"Year 3")</f>
        <v>0</v>
      </c>
      <c r="O31" s="3">
        <f>COUNTIFS('📋 Client Intake'!M5:M1004,"Medium",'📋 Client Intake'!AB5:AB1004,"Year 3")</f>
        <v>0</v>
      </c>
      <c r="P31" s="3">
        <f>COUNTIFS('📋 Client Intake'!M5:M1004,"Low",'📋 Client Intake'!AB5:AB1004,"Year 3")</f>
        <v>0</v>
      </c>
      <c r="Q31" s="3">
        <f>COUNTIFS('📋 Client Intake'!W5:W1004,"Yes",'📋 Client Intake'!AB5:AB1004,"Year 3")</f>
        <v>0</v>
      </c>
      <c r="R31" s="3">
        <f>COUNTIFS('📋 Client Intake'!W5:W1004,"No",'📋 Client Intake'!AB5:AB1004,"Year 3")</f>
        <v>0</v>
      </c>
    </row>
    <row r="32" spans="1:26" ht="19.5" customHeight="1" x14ac:dyDescent="0.2">
      <c r="A32" s="37" t="s">
        <v>230</v>
      </c>
      <c r="B32" s="6">
        <f>COUNTIFS('📋 Client Intake'!G5:G1004,"Ealing",'📋 Client Intake'!AB5:AB1004,"Year 4")</f>
        <v>0</v>
      </c>
      <c r="C32" s="6">
        <f>COUNTIFS('📋 Client Intake'!G5:G1004,"Hillingdon",'📋 Client Intake'!AB5:AB1004,"Year 4")</f>
        <v>0</v>
      </c>
      <c r="D32" s="6">
        <f>COUNTIFS('📋 Client Intake'!G5:G1004,"Hounslow",'📋 Client Intake'!AB5:AB1004,"Year 4")</f>
        <v>0</v>
      </c>
      <c r="E32" s="57">
        <f>B32+C32+D32</f>
        <v>0</v>
      </c>
      <c r="M32" s="37" t="s">
        <v>230</v>
      </c>
      <c r="N32" s="6">
        <f>COUNTIFS('📋 Client Intake'!M5:M1004,"High",'📋 Client Intake'!AB5:AB1004,"Year 4")</f>
        <v>0</v>
      </c>
      <c r="O32" s="6">
        <f>COUNTIFS('📋 Client Intake'!M5:M1004,"Medium",'📋 Client Intake'!AB5:AB1004,"Year 4")</f>
        <v>0</v>
      </c>
      <c r="P32" s="6">
        <f>COUNTIFS('📋 Client Intake'!M5:M1004,"Low",'📋 Client Intake'!AB5:AB1004,"Year 4")</f>
        <v>0</v>
      </c>
      <c r="Q32" s="6">
        <f>COUNTIFS('📋 Client Intake'!W5:W1004,"Yes",'📋 Client Intake'!AB5:AB1004,"Year 4")</f>
        <v>0</v>
      </c>
      <c r="R32" s="6">
        <f>COUNTIFS('📋 Client Intake'!W5:W1004,"No",'📋 Client Intake'!AB5:AB1004,"Year 4")</f>
        <v>0</v>
      </c>
    </row>
    <row r="33" spans="1:18" ht="19.5" customHeight="1" x14ac:dyDescent="0.2">
      <c r="A33" s="56" t="s">
        <v>231</v>
      </c>
      <c r="B33" s="3">
        <f>COUNTIFS('📋 Client Intake'!G5:G1004,"Ealing",'📋 Client Intake'!AB5:AB1004,"Year 5")</f>
        <v>0</v>
      </c>
      <c r="C33" s="3">
        <f>COUNTIFS('📋 Client Intake'!G5:G1004,"Hillingdon",'📋 Client Intake'!AB5:AB1004,"Year 5")</f>
        <v>0</v>
      </c>
      <c r="D33" s="3">
        <f>COUNTIFS('📋 Client Intake'!G5:G1004,"Hounslow",'📋 Client Intake'!AB5:AB1004,"Year 5")</f>
        <v>0</v>
      </c>
      <c r="E33" s="57">
        <f>B33+C33+D33</f>
        <v>0</v>
      </c>
      <c r="M33" s="56" t="s">
        <v>231</v>
      </c>
      <c r="N33" s="3">
        <f>COUNTIFS('📋 Client Intake'!M5:M1004,"High",'📋 Client Intake'!AB5:AB1004,"Year 5")</f>
        <v>0</v>
      </c>
      <c r="O33" s="3">
        <f>COUNTIFS('📋 Client Intake'!M5:M1004,"Medium",'📋 Client Intake'!AB5:AB1004,"Year 5")</f>
        <v>0</v>
      </c>
      <c r="P33" s="3">
        <f>COUNTIFS('📋 Client Intake'!M5:M1004,"Low",'📋 Client Intake'!AB5:AB1004,"Year 5")</f>
        <v>0</v>
      </c>
      <c r="Q33" s="3">
        <f>COUNTIFS('📋 Client Intake'!W5:W1004,"Yes",'📋 Client Intake'!AB5:AB1004,"Year 5")</f>
        <v>0</v>
      </c>
      <c r="R33" s="3">
        <f>COUNTIFS('📋 Client Intake'!W5:W1004,"No",'📋 Client Intake'!AB5:AB1004,"Year 5")</f>
        <v>0</v>
      </c>
    </row>
  </sheetData>
  <mergeCells count="7">
    <mergeCell ref="M27:Z27"/>
    <mergeCell ref="A27:K27"/>
    <mergeCell ref="M4:Z4"/>
    <mergeCell ref="A4:K4"/>
    <mergeCell ref="A1:Z1"/>
    <mergeCell ref="A3:Z3"/>
    <mergeCell ref="A2:Z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4"/>
  <sheetViews>
    <sheetView showGridLines="0" topLeftCell="A22" zoomScale="90" zoomScaleNormal="90" workbookViewId="0">
      <selection sqref="A1:R1"/>
    </sheetView>
  </sheetViews>
  <sheetFormatPr baseColWidth="10" defaultColWidth="8.83203125" defaultRowHeight="15" customHeight="1" x14ac:dyDescent="0.2"/>
  <cols>
    <col min="1" max="1" width="32" customWidth="1"/>
    <col min="2" max="19" width="13" customWidth="1"/>
  </cols>
  <sheetData>
    <row r="1" spans="1:18" ht="39.75" customHeight="1" x14ac:dyDescent="0.2">
      <c r="A1" s="144" t="s">
        <v>429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27.75" customHeight="1" x14ac:dyDescent="0.2">
      <c r="A2" s="145" t="str">
        <f>"QUARTERLY MONITORING REPORT  |  "&amp;'⚙ Settings'!C22&amp;"  |  City Bridge Foundation"</f>
        <v>QUARTERLY MONITORING REPORT  |  Q1 2025-26  |  City Bridge Foundation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ht="24" customHeight="1" x14ac:dyDescent="0.2">
      <c r="A3" s="142" t="str">
        <f>"Reporting Period: "&amp;TEXT('⚙ Settings'!C20,"DD MMM YYYY")&amp;" to "&amp;TEXT('⚙ Settings'!C21,"DD MMM YYYY")&amp;"  |  Nov 2025 – Jan 2030  |  £480,801"</f>
        <v>Reporting Period: 01 Apr 2026 to 30 Jun 2026  |  Nov 2025 – Jan 2030  |  £480,801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ht="7.5" customHeight="1" x14ac:dyDescent="0.2">
      <c r="A4" s="84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25.5" customHeight="1" x14ac:dyDescent="0.2">
      <c r="A5" s="135" t="s">
        <v>430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</row>
    <row r="6" spans="1:18" ht="19.5" customHeight="1" x14ac:dyDescent="0.2">
      <c r="A6" s="141" t="s">
        <v>431</v>
      </c>
      <c r="B6" s="73"/>
      <c r="C6" s="73"/>
      <c r="D6" s="73"/>
      <c r="E6" s="73"/>
      <c r="F6" s="73"/>
      <c r="G6" s="73"/>
      <c r="H6" s="137">
        <f>COUNTIFS('📋 Client Intake'!E5:E1004,"&gt;="&amp;'⚙ Settings'!C20,'📋 Client Intake'!E5:E1004,"&lt;="&amp;'⚙ Settings'!C21)</f>
        <v>1</v>
      </c>
      <c r="I6" s="73"/>
      <c r="J6" s="73"/>
      <c r="K6" s="136" t="s">
        <v>432</v>
      </c>
      <c r="L6" s="73"/>
      <c r="M6" s="73"/>
      <c r="N6" s="73"/>
      <c r="O6" s="73"/>
      <c r="P6" s="73"/>
      <c r="Q6" s="73"/>
      <c r="R6" s="73"/>
    </row>
    <row r="7" spans="1:18" ht="19.5" customHeight="1" x14ac:dyDescent="0.2">
      <c r="A7" s="141" t="s">
        <v>433</v>
      </c>
      <c r="B7" s="73"/>
      <c r="C7" s="73"/>
      <c r="D7" s="73"/>
      <c r="E7" s="73"/>
      <c r="F7" s="73"/>
      <c r="G7" s="73"/>
      <c r="H7" s="137">
        <f>COUNTA('📋 Client Intake'!C5:C1004)</f>
        <v>6</v>
      </c>
      <c r="I7" s="73"/>
      <c r="J7" s="73"/>
      <c r="K7" s="136" t="s">
        <v>434</v>
      </c>
      <c r="L7" s="73"/>
      <c r="M7" s="73"/>
      <c r="N7" s="73"/>
      <c r="O7" s="73"/>
      <c r="P7" s="73"/>
      <c r="Q7" s="73"/>
      <c r="R7" s="73"/>
    </row>
    <row r="8" spans="1:18" ht="19.5" customHeight="1" x14ac:dyDescent="0.2">
      <c r="A8" s="141" t="s">
        <v>435</v>
      </c>
      <c r="B8" s="73"/>
      <c r="C8" s="73"/>
      <c r="D8" s="73"/>
      <c r="E8" s="73"/>
      <c r="F8" s="73"/>
      <c r="G8" s="73"/>
      <c r="H8" s="137">
        <f>COUNTIF('📋 Client Intake'!F5:F1004,"Active")</f>
        <v>5</v>
      </c>
      <c r="I8" s="73"/>
      <c r="J8" s="73"/>
      <c r="K8" s="136"/>
      <c r="L8" s="73"/>
      <c r="M8" s="73"/>
      <c r="N8" s="73"/>
      <c r="O8" s="73"/>
      <c r="P8" s="73"/>
      <c r="Q8" s="73"/>
      <c r="R8" s="73"/>
    </row>
    <row r="9" spans="1:18" ht="19.5" customHeight="1" x14ac:dyDescent="0.2">
      <c r="A9" s="141" t="s">
        <v>436</v>
      </c>
      <c r="B9" s="73"/>
      <c r="C9" s="73"/>
      <c r="D9" s="73"/>
      <c r="E9" s="73"/>
      <c r="F9" s="73"/>
      <c r="G9" s="73"/>
      <c r="H9" s="137">
        <f>COUNTIFS('📋 Client Intake'!F5:F1004,"Closed",'📋 Client Intake'!E5:E1004,"&gt;="&amp;'⚙ Settings'!C20)</f>
        <v>0</v>
      </c>
      <c r="I9" s="73"/>
      <c r="J9" s="73"/>
      <c r="K9" s="136"/>
      <c r="L9" s="73"/>
      <c r="M9" s="73"/>
      <c r="N9" s="73"/>
      <c r="O9" s="73"/>
      <c r="P9" s="73"/>
      <c r="Q9" s="73"/>
      <c r="R9" s="73"/>
    </row>
    <row r="10" spans="1:18" ht="19.5" customHeight="1" x14ac:dyDescent="0.2">
      <c r="A10" s="141" t="s">
        <v>437</v>
      </c>
      <c r="B10" s="73"/>
      <c r="C10" s="73"/>
      <c r="D10" s="73"/>
      <c r="E10" s="73"/>
      <c r="F10" s="73"/>
      <c r="G10" s="73"/>
      <c r="H10" s="137">
        <f>COUNTIF('📋 Client Intake'!M5:M1004,"High")</f>
        <v>3</v>
      </c>
      <c r="I10" s="73"/>
      <c r="J10" s="73"/>
      <c r="K10" s="136" t="s">
        <v>438</v>
      </c>
      <c r="L10" s="73"/>
      <c r="M10" s="73"/>
      <c r="N10" s="73"/>
      <c r="O10" s="73"/>
      <c r="P10" s="73"/>
      <c r="Q10" s="73"/>
      <c r="R10" s="73"/>
    </row>
    <row r="11" spans="1:18" ht="19.5" customHeight="1" x14ac:dyDescent="0.2">
      <c r="A11" s="141" t="s">
        <v>439</v>
      </c>
      <c r="B11" s="73"/>
      <c r="C11" s="73"/>
      <c r="D11" s="73"/>
      <c r="E11" s="73"/>
      <c r="F11" s="73"/>
      <c r="G11" s="73"/>
      <c r="H11" s="146">
        <f>IFERROR(COUNTIFS('📋 Client Intake'!AB5:AB1004,'⚙ Settings'!C23)/'⚙ Settings'!C12,0)</f>
        <v>0</v>
      </c>
      <c r="I11" s="73"/>
      <c r="J11" s="73"/>
      <c r="K11" s="136" t="s">
        <v>440</v>
      </c>
      <c r="L11" s="73"/>
      <c r="M11" s="73"/>
      <c r="N11" s="73"/>
      <c r="O11" s="73"/>
      <c r="P11" s="73"/>
      <c r="Q11" s="73"/>
      <c r="R11" s="73"/>
    </row>
    <row r="13" spans="1:18" ht="25.5" customHeight="1" x14ac:dyDescent="0.2">
      <c r="A13" s="133" t="s">
        <v>441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</row>
    <row r="14" spans="1:18" ht="19.5" customHeight="1" x14ac:dyDescent="0.2">
      <c r="A14" s="141" t="s">
        <v>442</v>
      </c>
      <c r="B14" s="73"/>
      <c r="C14" s="73"/>
      <c r="D14" s="73"/>
      <c r="E14" s="73"/>
      <c r="F14" s="73"/>
      <c r="G14" s="73"/>
      <c r="H14" s="137">
        <f>COUNTIF('📋 Client Intake'!G5:G1004,"Ealing")</f>
        <v>3</v>
      </c>
      <c r="I14" s="73"/>
      <c r="J14" s="73"/>
      <c r="K14" s="136" t="str">
        <f>IFERROR(TEXT(COUNTIF('📋 Client Intake'!G5:G1004,"Ealing")/COUNTA('📋 Client Intake'!C5:C1004),"0%")&amp;" of all clients","")</f>
        <v>50% of all clients</v>
      </c>
      <c r="L14" s="73"/>
      <c r="M14" s="73"/>
      <c r="N14" s="73"/>
      <c r="O14" s="73"/>
      <c r="P14" s="73"/>
      <c r="Q14" s="73"/>
      <c r="R14" s="73"/>
    </row>
    <row r="15" spans="1:18" ht="19.5" customHeight="1" x14ac:dyDescent="0.2">
      <c r="A15" s="141" t="s">
        <v>443</v>
      </c>
      <c r="B15" s="73"/>
      <c r="C15" s="73"/>
      <c r="D15" s="73"/>
      <c r="E15" s="73"/>
      <c r="F15" s="73"/>
      <c r="G15" s="73"/>
      <c r="H15" s="137">
        <f>COUNTIF('📋 Client Intake'!G5:G1004,"Hillingdon")</f>
        <v>2</v>
      </c>
      <c r="I15" s="73"/>
      <c r="J15" s="73"/>
      <c r="K15" s="136" t="str">
        <f>IFERROR(TEXT(COUNTIF('📋 Client Intake'!G5:G1004,"Hillingdon")/COUNTA('📋 Client Intake'!C5:C1004),"0%")&amp;" of all clients","")</f>
        <v>33% of all clients</v>
      </c>
      <c r="L15" s="73"/>
      <c r="M15" s="73"/>
      <c r="N15" s="73"/>
      <c r="O15" s="73"/>
      <c r="P15" s="73"/>
      <c r="Q15" s="73"/>
      <c r="R15" s="73"/>
    </row>
    <row r="16" spans="1:18" ht="19.5" customHeight="1" x14ac:dyDescent="0.2">
      <c r="A16" s="141" t="s">
        <v>444</v>
      </c>
      <c r="B16" s="73"/>
      <c r="C16" s="73"/>
      <c r="D16" s="73"/>
      <c r="E16" s="73"/>
      <c r="F16" s="73"/>
      <c r="G16" s="73"/>
      <c r="H16" s="137">
        <f>COUNTIF('📋 Client Intake'!G5:G1004,"Hounslow")</f>
        <v>1</v>
      </c>
      <c r="I16" s="73"/>
      <c r="J16" s="73"/>
      <c r="K16" s="136" t="str">
        <f>IFERROR(TEXT(COUNTIF('📋 Client Intake'!G5:G1004,"Hounslow")/COUNTA('📋 Client Intake'!C5:C1004),"0%")&amp;" of all clients","")</f>
        <v>17% of all clients</v>
      </c>
      <c r="L16" s="73"/>
      <c r="M16" s="73"/>
      <c r="N16" s="73"/>
      <c r="O16" s="73"/>
      <c r="P16" s="73"/>
      <c r="Q16" s="73"/>
      <c r="R16" s="73"/>
    </row>
    <row r="18" spans="1:18" ht="25.5" customHeight="1" x14ac:dyDescent="0.2">
      <c r="A18" s="147" t="s">
        <v>445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</row>
    <row r="19" spans="1:18" ht="19.5" customHeight="1" x14ac:dyDescent="0.2">
      <c r="A19" s="141" t="s">
        <v>446</v>
      </c>
      <c r="B19" s="73"/>
      <c r="C19" s="73"/>
      <c r="D19" s="73"/>
      <c r="E19" s="73"/>
      <c r="F19" s="73"/>
      <c r="G19" s="73"/>
      <c r="H19" s="137">
        <f>COUNTIF('📋 Client Intake'!I5:I1004,"Under 25")</f>
        <v>0</v>
      </c>
      <c r="I19" s="73"/>
      <c r="J19" s="73"/>
      <c r="K19" s="136" t="str">
        <f>IFERROR(TEXT(COUNTIF('📋 Client Intake'!I5:I1004,"Under 25")/COUNTA('📋 Client Intake'!C5:C1004),"0%")&amp;" of all clients","")</f>
        <v>0% of all clients</v>
      </c>
      <c r="L19" s="73"/>
      <c r="M19" s="73"/>
      <c r="N19" s="73"/>
      <c r="O19" s="73"/>
      <c r="P19" s="73"/>
      <c r="Q19" s="73"/>
      <c r="R19" s="73"/>
    </row>
    <row r="20" spans="1:18" ht="19.5" customHeight="1" x14ac:dyDescent="0.2">
      <c r="A20" s="141" t="s">
        <v>447</v>
      </c>
      <c r="B20" s="73"/>
      <c r="C20" s="73"/>
      <c r="D20" s="73"/>
      <c r="E20" s="73"/>
      <c r="F20" s="73"/>
      <c r="G20" s="73"/>
      <c r="H20" s="137">
        <f>COUNTIF('📋 Client Intake'!J5:J1004,"Female")</f>
        <v>3</v>
      </c>
      <c r="I20" s="73"/>
      <c r="J20" s="73"/>
      <c r="K20" s="136"/>
      <c r="L20" s="73"/>
      <c r="M20" s="73"/>
      <c r="N20" s="73"/>
      <c r="O20" s="73"/>
      <c r="P20" s="73"/>
      <c r="Q20" s="73"/>
      <c r="R20" s="73"/>
    </row>
    <row r="21" spans="1:18" ht="19.5" customHeight="1" x14ac:dyDescent="0.2">
      <c r="A21" s="141" t="s">
        <v>448</v>
      </c>
      <c r="B21" s="73"/>
      <c r="C21" s="73"/>
      <c r="D21" s="73"/>
      <c r="E21" s="73"/>
      <c r="F21" s="73"/>
      <c r="G21" s="73"/>
      <c r="H21" s="137">
        <f>COUNTIF('📋 Client Intake'!Y5:Y1004,"LGBTQ+")</f>
        <v>0</v>
      </c>
      <c r="I21" s="73"/>
      <c r="J21" s="73"/>
      <c r="K21" s="136"/>
      <c r="L21" s="73"/>
      <c r="M21" s="73"/>
      <c r="N21" s="73"/>
      <c r="O21" s="73"/>
      <c r="P21" s="73"/>
      <c r="Q21" s="73"/>
      <c r="R21" s="73"/>
    </row>
    <row r="22" spans="1:18" ht="19.5" customHeight="1" x14ac:dyDescent="0.2">
      <c r="A22" s="141" t="s">
        <v>449</v>
      </c>
      <c r="B22" s="73"/>
      <c r="C22" s="73"/>
      <c r="D22" s="73"/>
      <c r="E22" s="73"/>
      <c r="F22" s="73"/>
      <c r="G22" s="73"/>
      <c r="H22" s="137">
        <f>COUNTIFS('📋 Client Intake'!Z5:Z1004,"&lt;&gt;None",'📋 Client Intake'!Z5:Z1004,"&lt;&gt;",'📋 Client Intake'!Z5:Z1004,"&lt;&gt;Prefer not to say")</f>
        <v>3</v>
      </c>
      <c r="I22" s="73"/>
      <c r="J22" s="73"/>
      <c r="K22" s="136"/>
      <c r="L22" s="73"/>
      <c r="M22" s="73"/>
      <c r="N22" s="73"/>
      <c r="O22" s="73"/>
      <c r="P22" s="73"/>
      <c r="Q22" s="73"/>
      <c r="R22" s="73"/>
    </row>
    <row r="23" spans="1:18" ht="19.5" customHeight="1" x14ac:dyDescent="0.2">
      <c r="A23" s="141" t="s">
        <v>450</v>
      </c>
      <c r="B23" s="73"/>
      <c r="C23" s="73"/>
      <c r="D23" s="73"/>
      <c r="E23" s="73"/>
      <c r="F23" s="73"/>
      <c r="G23" s="73"/>
      <c r="H23" s="137">
        <f>COUNTIF('📋 Client Intake'!X5:X1004,"Other")+COUNTIF('📋 Client Intake'!X5:X1004,"Interpreter needed")</f>
        <v>2</v>
      </c>
      <c r="I23" s="73"/>
      <c r="J23" s="73"/>
      <c r="K23" s="136"/>
      <c r="L23" s="73"/>
      <c r="M23" s="73"/>
      <c r="N23" s="73"/>
      <c r="O23" s="73"/>
      <c r="P23" s="73"/>
      <c r="Q23" s="73"/>
      <c r="R23" s="73"/>
    </row>
    <row r="25" spans="1:18" ht="25.5" customHeight="1" x14ac:dyDescent="0.2">
      <c r="A25" s="143" t="s">
        <v>451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</row>
    <row r="26" spans="1:18" ht="19.5" customHeight="1" x14ac:dyDescent="0.2">
      <c r="A26" s="141" t="s">
        <v>452</v>
      </c>
      <c r="B26" s="73"/>
      <c r="C26" s="73"/>
      <c r="D26" s="73"/>
      <c r="E26" s="73"/>
      <c r="F26" s="73"/>
      <c r="G26" s="73"/>
      <c r="H26" s="137">
        <f>COUNTIFS('📅 Activities'!A18:A1000,"&gt;="&amp;'⚙ Settings'!C20,'📅 Activities'!A18:A1000,"&lt;="&amp;'⚙ Settings'!C21)</f>
        <v>0</v>
      </c>
      <c r="I26" s="73"/>
      <c r="J26" s="73"/>
      <c r="K26" s="136"/>
      <c r="L26" s="73"/>
      <c r="M26" s="73"/>
      <c r="N26" s="73"/>
      <c r="O26" s="73"/>
      <c r="P26" s="73"/>
      <c r="Q26" s="73"/>
      <c r="R26" s="73"/>
    </row>
    <row r="27" spans="1:18" ht="19.5" customHeight="1" x14ac:dyDescent="0.2">
      <c r="A27" s="141" t="s">
        <v>453</v>
      </c>
      <c r="B27" s="73"/>
      <c r="C27" s="73"/>
      <c r="D27" s="73"/>
      <c r="E27" s="73"/>
      <c r="F27" s="73"/>
      <c r="G27" s="73"/>
      <c r="H27" s="137">
        <f>SUMIFS('📅 Activities'!G18:G1000,'📅 Activities'!A18:A1000,"&gt;="&amp;'⚙ Settings'!C20,'📅 Activities'!A18:A1000,"&lt;="&amp;'⚙ Settings'!C21)</f>
        <v>0</v>
      </c>
      <c r="I27" s="73"/>
      <c r="J27" s="73"/>
      <c r="K27" s="136"/>
      <c r="L27" s="73"/>
      <c r="M27" s="73"/>
      <c r="N27" s="73"/>
      <c r="O27" s="73"/>
      <c r="P27" s="73"/>
      <c r="Q27" s="73"/>
      <c r="R27" s="73"/>
    </row>
    <row r="28" spans="1:18" ht="19.5" customHeight="1" x14ac:dyDescent="0.2">
      <c r="A28" s="141" t="s">
        <v>454</v>
      </c>
      <c r="B28" s="73"/>
      <c r="C28" s="73"/>
      <c r="D28" s="73"/>
      <c r="E28" s="73"/>
      <c r="F28" s="73"/>
      <c r="G28" s="73"/>
      <c r="H28" s="137">
        <f>COUNTIFS('📅 Activities'!C18:C1000,"Legal Advice Clinic",'📅 Activities'!A18:A1000,"&gt;="&amp;'⚙ Settings'!C20)</f>
        <v>0</v>
      </c>
      <c r="I28" s="73"/>
      <c r="J28" s="73"/>
      <c r="K28" s="136"/>
      <c r="L28" s="73"/>
      <c r="M28" s="73"/>
      <c r="N28" s="73"/>
      <c r="O28" s="73"/>
      <c r="P28" s="73"/>
      <c r="Q28" s="73"/>
      <c r="R28" s="73"/>
    </row>
    <row r="29" spans="1:18" ht="19.5" customHeight="1" x14ac:dyDescent="0.2">
      <c r="A29" s="141" t="s">
        <v>455</v>
      </c>
      <c r="B29" s="73"/>
      <c r="C29" s="73"/>
      <c r="D29" s="73"/>
      <c r="E29" s="73"/>
      <c r="F29" s="73"/>
      <c r="G29" s="73"/>
      <c r="H29" s="137">
        <f>SUMIFS('📅 Activities'!H18:H1000,'📅 Activities'!A18:A1000,"&gt;="&amp;'⚙ Settings'!C20,'📅 Activities'!A18:A1000,"&lt;="&amp;'⚙ Settings'!C21)</f>
        <v>0</v>
      </c>
      <c r="I29" s="73"/>
      <c r="J29" s="73"/>
      <c r="K29" s="136"/>
      <c r="L29" s="73"/>
      <c r="M29" s="73"/>
      <c r="N29" s="73"/>
      <c r="O29" s="73"/>
      <c r="P29" s="73"/>
      <c r="Q29" s="73"/>
      <c r="R29" s="73"/>
    </row>
    <row r="31" spans="1:18" ht="25.5" customHeight="1" x14ac:dyDescent="0.2">
      <c r="A31" s="140" t="s">
        <v>456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</row>
    <row r="32" spans="1:18" ht="19.5" customHeight="1" x14ac:dyDescent="0.2">
      <c r="A32" s="141" t="s">
        <v>457</v>
      </c>
      <c r="B32" s="73"/>
      <c r="C32" s="73"/>
      <c r="D32" s="73"/>
      <c r="E32" s="73"/>
      <c r="F32" s="73"/>
      <c r="G32" s="73"/>
      <c r="H32" s="137">
        <f>COUNTIFS('📊 Outcome Tracker'!E5:E1004,"Yes",'📊 Outcome Tracker'!B5:B1004,"&gt;="&amp;'⚙ Settings'!C20,'📊 Outcome Tracker'!B5:B1004,"&lt;="&amp;'⚙ Settings'!C21)</f>
        <v>1</v>
      </c>
      <c r="I32" s="73"/>
      <c r="J32" s="73"/>
      <c r="K32" s="136" t="s">
        <v>458</v>
      </c>
      <c r="L32" s="73"/>
      <c r="M32" s="73"/>
      <c r="N32" s="73"/>
      <c r="O32" s="73"/>
      <c r="P32" s="73"/>
      <c r="Q32" s="73"/>
      <c r="R32" s="73"/>
    </row>
    <row r="33" spans="1:18" ht="19.5" customHeight="1" x14ac:dyDescent="0.2">
      <c r="A33" s="141" t="s">
        <v>459</v>
      </c>
      <c r="B33" s="73"/>
      <c r="C33" s="73"/>
      <c r="D33" s="73"/>
      <c r="E33" s="73"/>
      <c r="F33" s="73"/>
      <c r="G33" s="73"/>
      <c r="H33" s="137">
        <f>COUNTIFS('📊 Outcome Tracker'!F5:F1004,"Yes",'📊 Outcome Tracker'!B5:B1004,"&gt;="&amp;'⚙ Settings'!C20,'📊 Outcome Tracker'!B5:B1004,"&lt;="&amp;'⚙ Settings'!C21)</f>
        <v>1</v>
      </c>
      <c r="I33" s="73"/>
      <c r="J33" s="73"/>
      <c r="K33" s="136" t="s">
        <v>458</v>
      </c>
      <c r="L33" s="73"/>
      <c r="M33" s="73"/>
      <c r="N33" s="73"/>
      <c r="O33" s="73"/>
      <c r="P33" s="73"/>
      <c r="Q33" s="73"/>
      <c r="R33" s="73"/>
    </row>
    <row r="34" spans="1:18" ht="19.5" customHeight="1" x14ac:dyDescent="0.2">
      <c r="A34" s="141" t="s">
        <v>460</v>
      </c>
      <c r="B34" s="73"/>
      <c r="C34" s="73"/>
      <c r="D34" s="73"/>
      <c r="E34" s="73"/>
      <c r="F34" s="73"/>
      <c r="G34" s="73"/>
      <c r="H34" s="137">
        <f>COUNTIFS('📊 Outcome Tracker'!G5:G1004,"Yes",'📊 Outcome Tracker'!B5:B1004,"&gt;="&amp;'⚙ Settings'!C20,'📊 Outcome Tracker'!B5:B1004,"&lt;="&amp;'⚙ Settings'!C21)</f>
        <v>0</v>
      </c>
      <c r="I34" s="73"/>
      <c r="J34" s="73"/>
      <c r="K34" s="136" t="s">
        <v>458</v>
      </c>
      <c r="L34" s="73"/>
      <c r="M34" s="73"/>
      <c r="N34" s="73"/>
      <c r="O34" s="73"/>
      <c r="P34" s="73"/>
      <c r="Q34" s="73"/>
      <c r="R34" s="73"/>
    </row>
    <row r="35" spans="1:18" ht="19.5" customHeight="1" x14ac:dyDescent="0.2">
      <c r="A35" s="141" t="s">
        <v>461</v>
      </c>
      <c r="B35" s="73"/>
      <c r="C35" s="73"/>
      <c r="D35" s="73"/>
      <c r="E35" s="73"/>
      <c r="F35" s="73"/>
      <c r="G35" s="73"/>
      <c r="H35" s="137">
        <f>COUNTIFS('📊 Outcome Tracker'!H5:H1004,"Yes",'📊 Outcome Tracker'!B5:B1004,"&gt;="&amp;'⚙ Settings'!C20,'📊 Outcome Tracker'!B5:B1004,"&lt;="&amp;'⚙ Settings'!C21)</f>
        <v>2</v>
      </c>
      <c r="I35" s="73"/>
      <c r="J35" s="73"/>
      <c r="K35" s="136" t="s">
        <v>458</v>
      </c>
      <c r="L35" s="73"/>
      <c r="M35" s="73"/>
      <c r="N35" s="73"/>
      <c r="O35" s="73"/>
      <c r="P35" s="73"/>
      <c r="Q35" s="73"/>
      <c r="R35" s="73"/>
    </row>
    <row r="36" spans="1:18" ht="19.5" customHeight="1" x14ac:dyDescent="0.2">
      <c r="A36" s="141" t="s">
        <v>462</v>
      </c>
      <c r="B36" s="73"/>
      <c r="C36" s="73"/>
      <c r="D36" s="73"/>
      <c r="E36" s="73"/>
      <c r="F36" s="73"/>
      <c r="G36" s="73"/>
      <c r="H36" s="137">
        <f>COUNTIFS('📊 Outcome Tracker'!I5:I1004,"Yes",'📊 Outcome Tracker'!B5:B1004,"&gt;="&amp;'⚙ Settings'!C20,'📊 Outcome Tracker'!B5:B1004,"&lt;="&amp;'⚙ Settings'!C21)</f>
        <v>0</v>
      </c>
      <c r="I36" s="73"/>
      <c r="J36" s="73"/>
      <c r="K36" s="136" t="s">
        <v>458</v>
      </c>
      <c r="L36" s="73"/>
      <c r="M36" s="73"/>
      <c r="N36" s="73"/>
      <c r="O36" s="73"/>
      <c r="P36" s="73"/>
      <c r="Q36" s="73"/>
      <c r="R36" s="73"/>
    </row>
    <row r="38" spans="1:18" ht="25.5" customHeight="1" x14ac:dyDescent="0.2">
      <c r="A38" s="138" t="s">
        <v>463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</row>
    <row r="39" spans="1:18" ht="19.5" customHeight="1" x14ac:dyDescent="0.2">
      <c r="A39" s="141" t="s">
        <v>464</v>
      </c>
      <c r="B39" s="73"/>
      <c r="C39" s="73"/>
      <c r="D39" s="73"/>
      <c r="E39" s="73"/>
      <c r="F39" s="73"/>
      <c r="G39" s="73"/>
      <c r="H39" s="137">
        <f>COUNTIFS('🔀 Referral Tracker'!A27:A1000,"&gt;="&amp;'⚙ Settings'!C20,'🔀 Referral Tracker'!A27:A1000,"&lt;="&amp;'⚙ Settings'!C21,'🔀 Referral Tracker'!D27:D1000,"INCOMING")</f>
        <v>0</v>
      </c>
      <c r="I39" s="73"/>
      <c r="J39" s="73"/>
      <c r="K39" s="136"/>
      <c r="L39" s="73"/>
      <c r="M39" s="73"/>
      <c r="N39" s="73"/>
      <c r="O39" s="73"/>
      <c r="P39" s="73"/>
      <c r="Q39" s="73"/>
      <c r="R39" s="73"/>
    </row>
    <row r="40" spans="1:18" ht="19.5" customHeight="1" x14ac:dyDescent="0.2">
      <c r="A40" s="141" t="s">
        <v>465</v>
      </c>
      <c r="B40" s="73"/>
      <c r="C40" s="73"/>
      <c r="D40" s="73"/>
      <c r="E40" s="73"/>
      <c r="F40" s="73"/>
      <c r="G40" s="73"/>
      <c r="H40" s="137">
        <f>COUNTIFS('🔀 Referral Tracker'!A27:A1000,"&gt;="&amp;'⚙ Settings'!C20,'🔀 Referral Tracker'!A27:A1000,"&lt;="&amp;'⚙ Settings'!C21,'🔀 Referral Tracker'!D27:D1000,"OUTGOING")</f>
        <v>0</v>
      </c>
      <c r="I40" s="73"/>
      <c r="J40" s="73"/>
      <c r="K40" s="136"/>
      <c r="L40" s="73"/>
      <c r="M40" s="73"/>
      <c r="N40" s="73"/>
      <c r="O40" s="73"/>
      <c r="P40" s="73"/>
      <c r="Q40" s="73"/>
      <c r="R40" s="73"/>
    </row>
    <row r="42" spans="1:18" ht="25.5" customHeight="1" x14ac:dyDescent="0.2">
      <c r="A42" s="138" t="s">
        <v>466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</row>
    <row r="43" spans="1:18" ht="19.5" customHeight="1" x14ac:dyDescent="0.2">
      <c r="A43" s="141" t="s">
        <v>467</v>
      </c>
      <c r="B43" s="73"/>
      <c r="C43" s="73"/>
      <c r="D43" s="73"/>
      <c r="E43" s="73"/>
      <c r="F43" s="73"/>
      <c r="G43" s="73"/>
      <c r="H43" s="137">
        <f>COUNTIF('🙋 Volunteer Log'!G12:G211,"Active")</f>
        <v>4</v>
      </c>
      <c r="I43" s="73"/>
      <c r="J43" s="73"/>
      <c r="K43" s="136"/>
      <c r="L43" s="73"/>
      <c r="M43" s="73"/>
      <c r="N43" s="73"/>
      <c r="O43" s="73"/>
      <c r="P43" s="73"/>
      <c r="Q43" s="73"/>
      <c r="R43" s="73"/>
    </row>
    <row r="44" spans="1:18" ht="19.5" customHeight="1" x14ac:dyDescent="0.2">
      <c r="A44" s="141" t="s">
        <v>468</v>
      </c>
      <c r="B44" s="73"/>
      <c r="C44" s="73"/>
      <c r="D44" s="73"/>
      <c r="E44" s="73"/>
      <c r="F44" s="73"/>
      <c r="G44" s="73"/>
      <c r="H44" s="137">
        <f ca="1">SUMIFS('🙋 Volunteer Log'!G222:G600,'🙋 Volunteer Log'!A222:A600,"&gt;="&amp;'⚙ Settings'!C20,'🙋 Volunteer Log'!A222:A600,"&lt;="&amp;'⚙ Settings'!C21)</f>
        <v>0</v>
      </c>
      <c r="I44" s="73"/>
      <c r="J44" s="73"/>
      <c r="K44" s="136"/>
      <c r="L44" s="73"/>
      <c r="M44" s="73"/>
      <c r="N44" s="73"/>
      <c r="O44" s="73"/>
      <c r="P44" s="73"/>
      <c r="Q44" s="73"/>
      <c r="R44" s="73"/>
    </row>
    <row r="45" spans="1:18" ht="19.5" customHeight="1" x14ac:dyDescent="0.2">
      <c r="A45" s="141" t="s">
        <v>469</v>
      </c>
      <c r="B45" s="73"/>
      <c r="C45" s="73"/>
      <c r="D45" s="73"/>
      <c r="E45" s="73"/>
      <c r="F45" s="73"/>
      <c r="G45" s="73"/>
      <c r="H45" s="137">
        <f>COUNTIFS('🎓 Training Register'!A11:A500,"&gt;="&amp;'⚙ Settings'!C20,'🎓 Training Register'!A11:A500,"&lt;="&amp;'⚙ Settings'!C21)</f>
        <v>1</v>
      </c>
      <c r="I45" s="73"/>
      <c r="J45" s="73"/>
      <c r="K45" s="136"/>
      <c r="L45" s="73"/>
      <c r="M45" s="73"/>
      <c r="N45" s="73"/>
      <c r="O45" s="73"/>
      <c r="P45" s="73"/>
      <c r="Q45" s="73"/>
      <c r="R45" s="73"/>
    </row>
    <row r="46" spans="1:18" ht="19.5" customHeight="1" x14ac:dyDescent="0.2">
      <c r="A46" s="141" t="s">
        <v>470</v>
      </c>
      <c r="B46" s="73"/>
      <c r="C46" s="73"/>
      <c r="D46" s="73"/>
      <c r="E46" s="73"/>
      <c r="F46" s="73"/>
      <c r="G46" s="73"/>
      <c r="H46" s="137">
        <f>SUMIFS('🎓 Training Register'!H11:H500,'🎓 Training Register'!A11:A500,"&gt;="&amp;'⚙ Settings'!C20,'🎓 Training Register'!A11:A500,"&lt;="&amp;'⚙ Settings'!C21)</f>
        <v>22</v>
      </c>
      <c r="I46" s="73"/>
      <c r="J46" s="73"/>
      <c r="K46" s="136"/>
      <c r="L46" s="73"/>
      <c r="M46" s="73"/>
      <c r="N46" s="73"/>
      <c r="O46" s="73"/>
      <c r="P46" s="73"/>
      <c r="Q46" s="73"/>
      <c r="R46" s="73"/>
    </row>
    <row r="48" spans="1:18" ht="27.75" customHeight="1" x14ac:dyDescent="0.2">
      <c r="A48" s="135" t="s">
        <v>471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</row>
    <row r="49" spans="1:18" ht="25.5" customHeight="1" x14ac:dyDescent="0.2">
      <c r="A49" s="139" t="s">
        <v>472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</row>
    <row r="50" spans="1:18" ht="25.5" customHeight="1" x14ac:dyDescent="0.2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1" spans="1:18" ht="25.5" customHeight="1" x14ac:dyDescent="0.2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</row>
    <row r="52" spans="1:18" ht="25.5" customHeight="1" x14ac:dyDescent="0.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</row>
    <row r="53" spans="1:18" ht="25.5" customHeight="1" x14ac:dyDescent="0.2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</row>
    <row r="54" spans="1:18" ht="25.5" customHeight="1" x14ac:dyDescent="0.2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</row>
  </sheetData>
  <mergeCells count="100">
    <mergeCell ref="K16:R16"/>
    <mergeCell ref="A22:G22"/>
    <mergeCell ref="A35:G35"/>
    <mergeCell ref="K9:R9"/>
    <mergeCell ref="A9:G9"/>
    <mergeCell ref="H20:J20"/>
    <mergeCell ref="K36:R36"/>
    <mergeCell ref="A19:G19"/>
    <mergeCell ref="H11:J11"/>
    <mergeCell ref="K45:R45"/>
    <mergeCell ref="A28:G28"/>
    <mergeCell ref="A18:R18"/>
    <mergeCell ref="K20:R20"/>
    <mergeCell ref="H22:J22"/>
    <mergeCell ref="A42:R42"/>
    <mergeCell ref="K44:R44"/>
    <mergeCell ref="A45:G45"/>
    <mergeCell ref="K39:R39"/>
    <mergeCell ref="H34:J34"/>
    <mergeCell ref="K28:R28"/>
    <mergeCell ref="K34:R34"/>
    <mergeCell ref="A46:G46"/>
    <mergeCell ref="A48:R48"/>
    <mergeCell ref="H44:J44"/>
    <mergeCell ref="K7:R7"/>
    <mergeCell ref="A21:G21"/>
    <mergeCell ref="A26:G26"/>
    <mergeCell ref="H40:J40"/>
    <mergeCell ref="H21:J21"/>
    <mergeCell ref="A23:G23"/>
    <mergeCell ref="A8:G8"/>
    <mergeCell ref="K33:R33"/>
    <mergeCell ref="A10:G10"/>
    <mergeCell ref="H7:J7"/>
    <mergeCell ref="H16:J16"/>
    <mergeCell ref="K35:R35"/>
    <mergeCell ref="A34:G34"/>
    <mergeCell ref="H45:J45"/>
    <mergeCell ref="K21:R21"/>
    <mergeCell ref="H32:J32"/>
    <mergeCell ref="K26:R26"/>
    <mergeCell ref="A40:G40"/>
    <mergeCell ref="K43:R43"/>
    <mergeCell ref="K29:R29"/>
    <mergeCell ref="A39:G39"/>
    <mergeCell ref="K22:R22"/>
    <mergeCell ref="H29:J29"/>
    <mergeCell ref="K23:R23"/>
    <mergeCell ref="H27:J27"/>
    <mergeCell ref="H33:J33"/>
    <mergeCell ref="A36:G36"/>
    <mergeCell ref="H35:J35"/>
    <mergeCell ref="H10:J10"/>
    <mergeCell ref="K19:R19"/>
    <mergeCell ref="H9:J9"/>
    <mergeCell ref="A1:R1"/>
    <mergeCell ref="H6:J6"/>
    <mergeCell ref="A14:G14"/>
    <mergeCell ref="K15:R15"/>
    <mergeCell ref="A4:R4"/>
    <mergeCell ref="H15:J15"/>
    <mergeCell ref="A6:G6"/>
    <mergeCell ref="A2:R2"/>
    <mergeCell ref="K11:R11"/>
    <mergeCell ref="H19:J19"/>
    <mergeCell ref="A11:G11"/>
    <mergeCell ref="K8:R8"/>
    <mergeCell ref="K14:R14"/>
    <mergeCell ref="A3:R3"/>
    <mergeCell ref="A44:G44"/>
    <mergeCell ref="H28:J28"/>
    <mergeCell ref="A5:R5"/>
    <mergeCell ref="A15:G15"/>
    <mergeCell ref="K32:R32"/>
    <mergeCell ref="A13:R13"/>
    <mergeCell ref="A7:G7"/>
    <mergeCell ref="K10:R10"/>
    <mergeCell ref="K6:R6"/>
    <mergeCell ref="H39:J39"/>
    <mergeCell ref="A25:R25"/>
    <mergeCell ref="H36:J36"/>
    <mergeCell ref="A20:G20"/>
    <mergeCell ref="A29:G29"/>
    <mergeCell ref="H8:J8"/>
    <mergeCell ref="K46:R46"/>
    <mergeCell ref="K40:R40"/>
    <mergeCell ref="H14:J14"/>
    <mergeCell ref="A38:R38"/>
    <mergeCell ref="A49:R54"/>
    <mergeCell ref="H23:J23"/>
    <mergeCell ref="A31:R31"/>
    <mergeCell ref="H43:J43"/>
    <mergeCell ref="A27:G27"/>
    <mergeCell ref="A33:G33"/>
    <mergeCell ref="K27:R27"/>
    <mergeCell ref="A16:G16"/>
    <mergeCell ref="H26:J26"/>
    <mergeCell ref="A32:G32"/>
    <mergeCell ref="H46:J46"/>
    <mergeCell ref="A43:G4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8"/>
  <sheetViews>
    <sheetView showGridLines="0" topLeftCell="A43" zoomScale="162" zoomScaleNormal="90" workbookViewId="0">
      <selection activeCell="A37" sqref="A37:R40"/>
    </sheetView>
  </sheetViews>
  <sheetFormatPr baseColWidth="10" defaultColWidth="8.83203125" defaultRowHeight="15" customHeight="1" x14ac:dyDescent="0.2"/>
  <cols>
    <col min="1" max="1" width="22" customWidth="1"/>
    <col min="2" max="19" width="13" customWidth="1"/>
  </cols>
  <sheetData>
    <row r="1" spans="1:18" ht="39.75" customHeight="1" x14ac:dyDescent="0.2">
      <c r="A1" s="144" t="s">
        <v>473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21.75" customHeight="1" x14ac:dyDescent="0.2">
      <c r="A2" s="112" t="s">
        <v>474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4" spans="1:18" ht="25.5" customHeight="1" x14ac:dyDescent="0.2">
      <c r="A4" s="135" t="s">
        <v>475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19.5" customHeight="1" x14ac:dyDescent="0.2">
      <c r="A5" s="150" t="s">
        <v>476</v>
      </c>
      <c r="B5" s="73"/>
      <c r="C5" s="73"/>
      <c r="D5" s="73"/>
      <c r="E5" s="151" t="s">
        <v>194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</row>
    <row r="6" spans="1:18" ht="19.5" customHeight="1" x14ac:dyDescent="0.2">
      <c r="A6" s="150" t="s">
        <v>477</v>
      </c>
      <c r="B6" s="73"/>
      <c r="C6" s="73"/>
      <c r="D6" s="73"/>
      <c r="E6" s="148" t="str">
        <f>IFERROR(VLOOKUP(E5,'📋 Client Intake'!A:V,2,0),"—")</f>
        <v>Freda Ritchie 1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</row>
    <row r="7" spans="1:18" ht="19.5" customHeight="1" x14ac:dyDescent="0.2">
      <c r="A7" s="150" t="s">
        <v>83</v>
      </c>
      <c r="B7" s="73"/>
      <c r="C7" s="73"/>
      <c r="D7" s="73"/>
      <c r="E7" s="148" t="str">
        <f>IFERROR(VLOOKUP(E5,'📋 Client Intake'!A:V,6,0),"—")</f>
        <v>Active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</row>
    <row r="8" spans="1:18" ht="19.5" customHeight="1" x14ac:dyDescent="0.2">
      <c r="A8" s="150" t="s">
        <v>478</v>
      </c>
      <c r="B8" s="73"/>
      <c r="C8" s="73"/>
      <c r="D8" s="73"/>
      <c r="E8" s="148" t="str">
        <f>IFERROR(TEXT(VLOOKUP(E5,'📋 Client Intake'!A:V,4,0),"DD MMM YYYY"),"—")</f>
        <v>Omer Ul-haque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</row>
    <row r="9" spans="1:18" ht="19.5" customHeight="1" x14ac:dyDescent="0.2">
      <c r="A9" s="150" t="s">
        <v>85</v>
      </c>
      <c r="B9" s="73"/>
      <c r="C9" s="73"/>
      <c r="D9" s="73"/>
      <c r="E9" s="148" t="str">
        <f>IFERROR(VLOOKUP(E5,'📋 Client Intake'!A:V,8,0),"—")</f>
        <v>Other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</row>
    <row r="10" spans="1:18" ht="19.5" customHeight="1" x14ac:dyDescent="0.2">
      <c r="A10" s="150" t="s">
        <v>479</v>
      </c>
      <c r="B10" s="73"/>
      <c r="C10" s="73"/>
      <c r="D10" s="73"/>
      <c r="E10" s="148" t="str">
        <f>IFERROR(VLOOKUP(E5,'📋 Client Intake'!A:V,9,0),"—")</f>
        <v>26-55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</row>
    <row r="11" spans="1:18" ht="19.5" customHeight="1" x14ac:dyDescent="0.2">
      <c r="A11" s="150" t="s">
        <v>480</v>
      </c>
      <c r="B11" s="73"/>
      <c r="C11" s="73"/>
      <c r="D11" s="73"/>
      <c r="E11" s="148" t="str">
        <f>IFERROR(VLOOKUP(E5,'📋 Client Intake'!A:V,13,0),"—")</f>
        <v>High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</row>
    <row r="12" spans="1:18" ht="19.5" customHeight="1" x14ac:dyDescent="0.2">
      <c r="A12" s="150" t="s">
        <v>89</v>
      </c>
      <c r="B12" s="73"/>
      <c r="C12" s="73"/>
      <c r="D12" s="73"/>
      <c r="E12" s="148" t="str">
        <f>IFERROR(VLOOKUP(E5,'📋 Client Intake'!A:V,12,0),"—")</f>
        <v>Prefer not to say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</row>
    <row r="13" spans="1:18" ht="19.5" customHeight="1" x14ac:dyDescent="0.2">
      <c r="A13" s="150" t="s">
        <v>181</v>
      </c>
      <c r="B13" s="73"/>
      <c r="C13" s="73"/>
      <c r="D13" s="73"/>
      <c r="E13" s="148" t="str">
        <f>IFERROR(VLOOKUP(E5,'📋 Client Intake'!A:V,3,0),"—")</f>
        <v>FR1</v>
      </c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</row>
    <row r="14" spans="1:18" ht="19.5" customHeight="1" x14ac:dyDescent="0.2">
      <c r="A14" s="150" t="s">
        <v>226</v>
      </c>
      <c r="B14" s="73"/>
      <c r="C14" s="73"/>
      <c r="D14" s="73"/>
      <c r="E14" s="148" t="str">
        <f>IFERROR(VLOOKUP(E5,'📋 Client Intake'!A:V,7,0),"—")</f>
        <v>Ealing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</row>
    <row r="15" spans="1:18" ht="19.5" customHeight="1" x14ac:dyDescent="0.2">
      <c r="A15" s="150" t="s">
        <v>481</v>
      </c>
      <c r="B15" s="73"/>
      <c r="C15" s="73"/>
      <c r="D15" s="73"/>
      <c r="E15" s="148">
        <f>IFERROR(VLOOKUP(E5,'📋 Client Intake'!A:V,22,0),"—")</f>
        <v>0</v>
      </c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</row>
    <row r="16" spans="1:18" ht="19.5" customHeight="1" x14ac:dyDescent="0.2">
      <c r="A16" s="150" t="s">
        <v>482</v>
      </c>
      <c r="B16" s="73"/>
      <c r="C16" s="73"/>
      <c r="D16" s="73"/>
      <c r="E16" s="148" t="str">
        <f>IFERROR(INDEX('📊 Outcome Tracker'!P:P,MATCH(2,1/('📊 Outcome Tracker'!A:A=E5),1)),"Not yet assessed")</f>
        <v>Not yet assessed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</row>
    <row r="17" spans="1:18" ht="7.5" customHeight="1" x14ac:dyDescent="0.2">
      <c r="A17" s="84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</row>
    <row r="18" spans="1:18" ht="27.75" customHeight="1" x14ac:dyDescent="0.2">
      <c r="A18" s="135" t="s">
        <v>483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</row>
    <row r="19" spans="1:18" ht="24" customHeight="1" x14ac:dyDescent="0.2">
      <c r="A19" s="149" t="s">
        <v>484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</row>
    <row r="20" spans="1:18" ht="24" customHeight="1" x14ac:dyDescent="0.2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</row>
    <row r="21" spans="1:18" ht="24" customHeight="1" x14ac:dyDescent="0.2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</row>
    <row r="22" spans="1:18" ht="24" customHeight="1" x14ac:dyDescent="0.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</row>
    <row r="23" spans="1:18" ht="24" customHeight="1" x14ac:dyDescent="0.2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</row>
    <row r="24" spans="1:18" ht="27.75" customHeight="1" x14ac:dyDescent="0.2">
      <c r="A24" s="133" t="s">
        <v>485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</row>
    <row r="25" spans="1:18" ht="24" customHeight="1" x14ac:dyDescent="0.2">
      <c r="A25" s="149" t="s">
        <v>486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</row>
    <row r="26" spans="1:18" ht="24" customHeight="1" x14ac:dyDescent="0.2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</row>
    <row r="27" spans="1:18" ht="24" customHeight="1" x14ac:dyDescent="0.2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</row>
    <row r="28" spans="1:18" ht="24" customHeight="1" x14ac:dyDescent="0.2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</row>
    <row r="29" spans="1:18" ht="24" customHeight="1" x14ac:dyDescent="0.2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</row>
    <row r="30" spans="1:18" ht="27.75" customHeight="1" x14ac:dyDescent="0.2">
      <c r="A30" s="134" t="s">
        <v>487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</row>
    <row r="31" spans="1:18" ht="24" customHeight="1" x14ac:dyDescent="0.2">
      <c r="A31" s="149" t="s">
        <v>488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</row>
    <row r="32" spans="1:18" ht="24" customHeight="1" x14ac:dyDescent="0.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</row>
    <row r="33" spans="1:18" ht="24" customHeight="1" x14ac:dyDescent="0.2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</row>
    <row r="34" spans="1:18" ht="24" customHeight="1" x14ac:dyDescent="0.2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</row>
    <row r="35" spans="1:18" ht="24" customHeight="1" x14ac:dyDescent="0.2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</row>
    <row r="36" spans="1:18" ht="27.75" customHeight="1" x14ac:dyDescent="0.2">
      <c r="A36" s="138" t="s">
        <v>489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spans="1:18" ht="24" customHeight="1" x14ac:dyDescent="0.2">
      <c r="A37" s="149" t="s">
        <v>490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</row>
    <row r="38" spans="1:18" ht="24" customHeight="1" x14ac:dyDescent="0.2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</row>
    <row r="39" spans="1:18" ht="24" customHeight="1" x14ac:dyDescent="0.2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</row>
    <row r="40" spans="1:18" ht="24" customHeight="1" x14ac:dyDescent="0.2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</row>
    <row r="41" spans="1:18" ht="27.75" customHeight="1" x14ac:dyDescent="0.2">
      <c r="A41" s="143" t="s">
        <v>491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</row>
    <row r="42" spans="1:18" ht="24" customHeight="1" x14ac:dyDescent="0.2">
      <c r="A42" s="149" t="s">
        <v>492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</row>
    <row r="43" spans="1:18" ht="24" customHeight="1" x14ac:dyDescent="0.2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</row>
    <row r="44" spans="1:18" ht="24" customHeight="1" x14ac:dyDescent="0.2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</row>
    <row r="45" spans="1:18" ht="24" customHeight="1" x14ac:dyDescent="0.2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</row>
    <row r="47" spans="1:18" ht="27.75" customHeight="1" x14ac:dyDescent="0.2">
      <c r="A47" s="116" t="s">
        <v>493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</row>
    <row r="48" spans="1:18" ht="27.75" customHeight="1" x14ac:dyDescent="0.2">
      <c r="A48" s="1" t="s">
        <v>178</v>
      </c>
      <c r="B48" s="1" t="s">
        <v>285</v>
      </c>
      <c r="C48" s="1" t="s">
        <v>494</v>
      </c>
      <c r="D48" s="1" t="s">
        <v>83</v>
      </c>
      <c r="E48" s="1" t="s">
        <v>495</v>
      </c>
      <c r="F48" s="1" t="s">
        <v>496</v>
      </c>
      <c r="G48" s="1" t="s">
        <v>257</v>
      </c>
    </row>
  </sheetData>
  <mergeCells count="39">
    <mergeCell ref="E14:R14"/>
    <mergeCell ref="E8:R8"/>
    <mergeCell ref="A9:D9"/>
    <mergeCell ref="A25:R29"/>
    <mergeCell ref="A19:R23"/>
    <mergeCell ref="A24:R24"/>
    <mergeCell ref="A12:D12"/>
    <mergeCell ref="A47:R47"/>
    <mergeCell ref="A15:D15"/>
    <mergeCell ref="E10:R10"/>
    <mergeCell ref="A17:R17"/>
    <mergeCell ref="A11:D11"/>
    <mergeCell ref="E13:R13"/>
    <mergeCell ref="E15:R15"/>
    <mergeCell ref="A16:D16"/>
    <mergeCell ref="E11:R11"/>
    <mergeCell ref="A30:R30"/>
    <mergeCell ref="A42:R45"/>
    <mergeCell ref="A41:R41"/>
    <mergeCell ref="E12:R12"/>
    <mergeCell ref="A10:D10"/>
    <mergeCell ref="A13:D13"/>
    <mergeCell ref="A18:R18"/>
    <mergeCell ref="E16:R16"/>
    <mergeCell ref="A37:R40"/>
    <mergeCell ref="A36:R36"/>
    <mergeCell ref="E7:R7"/>
    <mergeCell ref="A1:R1"/>
    <mergeCell ref="A31:R35"/>
    <mergeCell ref="A14:D14"/>
    <mergeCell ref="A2:R2"/>
    <mergeCell ref="A4:R4"/>
    <mergeCell ref="E9:R9"/>
    <mergeCell ref="A6:D6"/>
    <mergeCell ref="E6:R6"/>
    <mergeCell ref="A7:D7"/>
    <mergeCell ref="A5:D5"/>
    <mergeCell ref="A8:D8"/>
    <mergeCell ref="E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showGridLines="0" zoomScaleNormal="100" workbookViewId="0">
      <selection sqref="A1:H1"/>
    </sheetView>
  </sheetViews>
  <sheetFormatPr baseColWidth="10" defaultColWidth="8.83203125" defaultRowHeight="15" customHeight="1" x14ac:dyDescent="0.2"/>
  <cols>
    <col min="1" max="1" width="28" customWidth="1"/>
    <col min="2" max="2" width="13" customWidth="1"/>
    <col min="3" max="3" width="12" customWidth="1"/>
    <col min="4" max="4" width="32" customWidth="1"/>
    <col min="5" max="5" width="16" customWidth="1"/>
    <col min="6" max="6" width="14" customWidth="1"/>
    <col min="7" max="7" width="13" customWidth="1"/>
    <col min="8" max="8" width="28" customWidth="1"/>
  </cols>
  <sheetData>
    <row r="1" spans="1:8" ht="37.5" customHeight="1" x14ac:dyDescent="0.2">
      <c r="A1" s="114" t="s">
        <v>497</v>
      </c>
      <c r="B1" s="73"/>
      <c r="C1" s="73"/>
      <c r="D1" s="73"/>
      <c r="E1" s="73"/>
      <c r="F1" s="73"/>
      <c r="G1" s="73"/>
      <c r="H1" s="73"/>
    </row>
    <row r="2" spans="1:8" ht="19.5" customHeight="1" x14ac:dyDescent="0.2">
      <c r="A2" s="112" t="s">
        <v>498</v>
      </c>
      <c r="B2" s="73"/>
      <c r="C2" s="73"/>
      <c r="D2" s="73"/>
      <c r="E2" s="73"/>
      <c r="F2" s="73"/>
      <c r="G2" s="73"/>
      <c r="H2" s="73"/>
    </row>
    <row r="4" spans="1:8" ht="31.5" customHeight="1" x14ac:dyDescent="0.2">
      <c r="A4" s="1" t="s">
        <v>251</v>
      </c>
      <c r="B4" s="1" t="s">
        <v>499</v>
      </c>
      <c r="C4" s="1" t="s">
        <v>500</v>
      </c>
      <c r="D4" s="1" t="s">
        <v>501</v>
      </c>
      <c r="E4" s="1" t="s">
        <v>502</v>
      </c>
      <c r="F4" s="1" t="s">
        <v>503</v>
      </c>
      <c r="G4" s="1" t="s">
        <v>504</v>
      </c>
      <c r="H4" s="1" t="s">
        <v>505</v>
      </c>
    </row>
    <row r="5" spans="1:8" ht="36" customHeight="1" x14ac:dyDescent="0.2">
      <c r="A5" s="58" t="s">
        <v>506</v>
      </c>
      <c r="B5" s="59" t="s">
        <v>130</v>
      </c>
      <c r="C5" s="60" t="s">
        <v>114</v>
      </c>
      <c r="D5" s="58" t="s">
        <v>507</v>
      </c>
      <c r="E5" s="61" t="s">
        <v>508</v>
      </c>
      <c r="F5" s="61" t="s">
        <v>509</v>
      </c>
      <c r="G5" s="61" t="s">
        <v>109</v>
      </c>
      <c r="H5" s="58"/>
    </row>
    <row r="6" spans="1:8" ht="36" customHeight="1" x14ac:dyDescent="0.2">
      <c r="A6" s="62" t="s">
        <v>510</v>
      </c>
      <c r="B6" s="60" t="s">
        <v>114</v>
      </c>
      <c r="C6" s="59" t="s">
        <v>130</v>
      </c>
      <c r="D6" s="62" t="s">
        <v>511</v>
      </c>
      <c r="E6" s="63" t="s">
        <v>512</v>
      </c>
      <c r="F6" s="63" t="s">
        <v>513</v>
      </c>
      <c r="G6" s="63" t="s">
        <v>109</v>
      </c>
      <c r="H6" s="62"/>
    </row>
    <row r="7" spans="1:8" ht="36" customHeight="1" x14ac:dyDescent="0.2">
      <c r="A7" s="58" t="s">
        <v>514</v>
      </c>
      <c r="B7" s="59" t="s">
        <v>130</v>
      </c>
      <c r="C7" s="60" t="s">
        <v>114</v>
      </c>
      <c r="D7" s="58" t="s">
        <v>515</v>
      </c>
      <c r="E7" s="61" t="s">
        <v>516</v>
      </c>
      <c r="F7" s="61" t="s">
        <v>517</v>
      </c>
      <c r="G7" s="61" t="s">
        <v>109</v>
      </c>
      <c r="H7" s="58"/>
    </row>
    <row r="8" spans="1:8" ht="36" customHeight="1" x14ac:dyDescent="0.2">
      <c r="A8" s="62" t="s">
        <v>518</v>
      </c>
      <c r="B8" s="59" t="s">
        <v>130</v>
      </c>
      <c r="C8" s="59" t="s">
        <v>130</v>
      </c>
      <c r="D8" s="62" t="s">
        <v>519</v>
      </c>
      <c r="E8" s="63" t="s">
        <v>520</v>
      </c>
      <c r="F8" s="63" t="s">
        <v>509</v>
      </c>
      <c r="G8" s="63" t="s">
        <v>109</v>
      </c>
      <c r="H8" s="62"/>
    </row>
    <row r="9" spans="1:8" ht="36" customHeight="1" x14ac:dyDescent="0.2">
      <c r="A9" s="58" t="s">
        <v>521</v>
      </c>
      <c r="B9" s="59" t="s">
        <v>130</v>
      </c>
      <c r="C9" s="60" t="s">
        <v>114</v>
      </c>
      <c r="D9" s="58" t="s">
        <v>522</v>
      </c>
      <c r="E9" s="61" t="s">
        <v>516</v>
      </c>
      <c r="F9" s="61" t="s">
        <v>509</v>
      </c>
      <c r="G9" s="61" t="s">
        <v>109</v>
      </c>
      <c r="H9" s="58"/>
    </row>
    <row r="10" spans="1:8" ht="36" customHeight="1" x14ac:dyDescent="0.2">
      <c r="A10" s="62" t="s">
        <v>523</v>
      </c>
      <c r="B10" s="64" t="s">
        <v>154</v>
      </c>
      <c r="C10" s="59" t="s">
        <v>130</v>
      </c>
      <c r="D10" s="62" t="s">
        <v>524</v>
      </c>
      <c r="E10" s="63" t="s">
        <v>525</v>
      </c>
      <c r="F10" s="63" t="s">
        <v>517</v>
      </c>
      <c r="G10" s="63" t="s">
        <v>526</v>
      </c>
      <c r="H10" s="62"/>
    </row>
    <row r="11" spans="1:8" ht="36" customHeight="1" x14ac:dyDescent="0.2">
      <c r="A11" s="58" t="s">
        <v>527</v>
      </c>
      <c r="B11" s="64" t="s">
        <v>154</v>
      </c>
      <c r="C11" s="60" t="s">
        <v>114</v>
      </c>
      <c r="D11" s="58" t="s">
        <v>528</v>
      </c>
      <c r="E11" s="61" t="s">
        <v>525</v>
      </c>
      <c r="F11" s="61" t="s">
        <v>529</v>
      </c>
      <c r="G11" s="61" t="s">
        <v>526</v>
      </c>
      <c r="H11" s="58"/>
    </row>
    <row r="12" spans="1:8" ht="36" customHeight="1" x14ac:dyDescent="0.2">
      <c r="A12" s="62" t="s">
        <v>530</v>
      </c>
      <c r="B12" s="59" t="s">
        <v>130</v>
      </c>
      <c r="C12" s="59" t="s">
        <v>130</v>
      </c>
      <c r="D12" s="62" t="s">
        <v>531</v>
      </c>
      <c r="E12" s="63" t="s">
        <v>532</v>
      </c>
      <c r="F12" s="63" t="s">
        <v>533</v>
      </c>
      <c r="G12" s="63" t="s">
        <v>109</v>
      </c>
      <c r="H12" s="62"/>
    </row>
  </sheetData>
  <mergeCells count="2">
    <mergeCell ref="A2:H2"/>
    <mergeCell ref="A1:H1"/>
  </mergeCells>
  <dataValidations count="2">
    <dataValidation type="list" allowBlank="1" sqref="B5:C50" xr:uid="{00000000-0002-0000-0A00-000000000000}">
      <formula1>"High,Medium,Low"</formula1>
      <formula2>0</formula2>
    </dataValidation>
    <dataValidation type="list" allowBlank="1" sqref="G5:G50" xr:uid="{00000000-0002-0000-0A00-000001000000}">
      <formula1>"Active,Monitor,Closed,Escalated"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5"/>
  <sheetViews>
    <sheetView showGridLines="0" topLeftCell="A23" zoomScale="125" zoomScaleNormal="125" workbookViewId="0">
      <selection activeCell="D50" sqref="D50"/>
    </sheetView>
  </sheetViews>
  <sheetFormatPr baseColWidth="10" defaultColWidth="8.83203125" defaultRowHeight="15" customHeight="1" x14ac:dyDescent="0.2"/>
  <cols>
    <col min="1" max="1" width="30" customWidth="1"/>
    <col min="2" max="2" width="4" customWidth="1"/>
    <col min="3" max="3" width="30" customWidth="1"/>
    <col min="4" max="4" width="32" customWidth="1"/>
  </cols>
  <sheetData>
    <row r="1" spans="1:4" ht="36" customHeight="1" x14ac:dyDescent="0.2">
      <c r="A1" s="114" t="s">
        <v>534</v>
      </c>
      <c r="B1" s="73"/>
      <c r="C1" s="73"/>
      <c r="D1" s="73"/>
    </row>
    <row r="2" spans="1:4" ht="21.75" customHeight="1" x14ac:dyDescent="0.2">
      <c r="A2" s="152" t="s">
        <v>535</v>
      </c>
      <c r="B2" s="73"/>
      <c r="C2" s="73"/>
      <c r="D2" s="73"/>
    </row>
    <row r="3" spans="1:4" ht="19.5" customHeight="1" x14ac:dyDescent="0.2">
      <c r="C3" s="73"/>
      <c r="D3" s="73"/>
    </row>
    <row r="4" spans="1:4" ht="19.5" customHeight="1" x14ac:dyDescent="0.2">
      <c r="A4" s="5" t="s">
        <v>536</v>
      </c>
      <c r="C4" s="121" t="s">
        <v>537</v>
      </c>
      <c r="D4" s="73"/>
    </row>
    <row r="5" spans="1:4" ht="19.5" customHeight="1" x14ac:dyDescent="0.2">
      <c r="A5" s="27" t="s">
        <v>538</v>
      </c>
      <c r="C5" s="118" t="s">
        <v>539</v>
      </c>
      <c r="D5" s="73"/>
    </row>
    <row r="6" spans="1:4" ht="19.5" customHeight="1" x14ac:dyDescent="0.2">
      <c r="A6" s="5" t="s">
        <v>540</v>
      </c>
      <c r="C6" s="121" t="s">
        <v>541</v>
      </c>
      <c r="D6" s="73"/>
    </row>
    <row r="7" spans="1:4" ht="19.5" customHeight="1" x14ac:dyDescent="0.2">
      <c r="A7" s="27" t="s">
        <v>542</v>
      </c>
      <c r="C7" s="118" t="s">
        <v>543</v>
      </c>
      <c r="D7" s="73"/>
    </row>
    <row r="8" spans="1:4" ht="19.5" customHeight="1" x14ac:dyDescent="0.2">
      <c r="A8" s="5" t="s">
        <v>544</v>
      </c>
      <c r="C8" s="121" t="s">
        <v>545</v>
      </c>
      <c r="D8" s="73"/>
    </row>
    <row r="9" spans="1:4" ht="19.5" customHeight="1" x14ac:dyDescent="0.2">
      <c r="A9" s="27" t="s">
        <v>546</v>
      </c>
      <c r="C9" s="118" t="s">
        <v>547</v>
      </c>
      <c r="D9" s="73"/>
    </row>
    <row r="10" spans="1:4" ht="19.5" customHeight="1" x14ac:dyDescent="0.2">
      <c r="A10" s="5" t="s">
        <v>548</v>
      </c>
      <c r="C10" s="121" t="s">
        <v>549</v>
      </c>
      <c r="D10" s="73"/>
    </row>
    <row r="11" spans="1:4" ht="19.5" customHeight="1" x14ac:dyDescent="0.2">
      <c r="A11" s="27" t="s">
        <v>550</v>
      </c>
      <c r="C11" s="118" t="s">
        <v>551</v>
      </c>
      <c r="D11" s="73"/>
    </row>
    <row r="12" spans="1:4" ht="19.5" customHeight="1" x14ac:dyDescent="0.2">
      <c r="A12" s="5" t="s">
        <v>552</v>
      </c>
      <c r="C12" s="99">
        <v>50</v>
      </c>
      <c r="D12" s="73"/>
    </row>
    <row r="13" spans="1:4" ht="19.5" customHeight="1" x14ac:dyDescent="0.2">
      <c r="A13" s="27" t="s">
        <v>553</v>
      </c>
      <c r="C13" s="141">
        <v>250</v>
      </c>
      <c r="D13" s="73"/>
    </row>
    <row r="14" spans="1:4" ht="19.5" customHeight="1" x14ac:dyDescent="0.2">
      <c r="A14" s="5" t="s">
        <v>554</v>
      </c>
      <c r="C14" s="121" t="s">
        <v>555</v>
      </c>
      <c r="D14" s="73"/>
    </row>
    <row r="15" spans="1:4" ht="19.5" customHeight="1" x14ac:dyDescent="0.2">
      <c r="A15" s="27" t="s">
        <v>556</v>
      </c>
      <c r="C15" s="118" t="s">
        <v>557</v>
      </c>
      <c r="D15" s="73"/>
    </row>
    <row r="16" spans="1:4" ht="19.5" customHeight="1" x14ac:dyDescent="0.2">
      <c r="A16" s="5" t="s">
        <v>558</v>
      </c>
      <c r="C16" s="121"/>
      <c r="D16" s="73"/>
    </row>
    <row r="17" spans="1:4" ht="15" customHeight="1" x14ac:dyDescent="0.2">
      <c r="A17" s="27" t="s">
        <v>559</v>
      </c>
      <c r="C17" s="34"/>
    </row>
    <row r="18" spans="1:4" ht="25.5" customHeight="1" x14ac:dyDescent="0.2">
      <c r="A18" s="73"/>
      <c r="B18" s="73"/>
      <c r="C18" s="73"/>
      <c r="D18" s="73"/>
    </row>
    <row r="19" spans="1:4" ht="19.5" customHeight="1" x14ac:dyDescent="0.2">
      <c r="A19" s="11" t="s">
        <v>560</v>
      </c>
    </row>
    <row r="20" spans="1:4" ht="19.5" customHeight="1" x14ac:dyDescent="0.2">
      <c r="A20" s="27" t="s">
        <v>561</v>
      </c>
      <c r="C20" s="65">
        <v>46113</v>
      </c>
      <c r="D20" s="66" t="s">
        <v>562</v>
      </c>
    </row>
    <row r="21" spans="1:4" ht="19.5" customHeight="1" x14ac:dyDescent="0.2">
      <c r="A21" s="27" t="s">
        <v>563</v>
      </c>
      <c r="C21" s="67" t="s">
        <v>564</v>
      </c>
      <c r="D21" s="66" t="s">
        <v>565</v>
      </c>
    </row>
    <row r="22" spans="1:4" ht="19.5" customHeight="1" x14ac:dyDescent="0.2">
      <c r="A22" s="27" t="s">
        <v>566</v>
      </c>
      <c r="C22" s="67" t="s">
        <v>567</v>
      </c>
      <c r="D22" s="66" t="s">
        <v>568</v>
      </c>
    </row>
    <row r="23" spans="1:4" ht="19.5" customHeight="1" x14ac:dyDescent="0.2">
      <c r="A23" s="27" t="s">
        <v>569</v>
      </c>
      <c r="C23" s="67" t="s">
        <v>551</v>
      </c>
      <c r="D23" s="66" t="s">
        <v>570</v>
      </c>
    </row>
    <row r="24" spans="1:4" ht="15" customHeight="1" x14ac:dyDescent="0.2">
      <c r="A24" s="27" t="s">
        <v>571</v>
      </c>
      <c r="C24" s="67">
        <v>1</v>
      </c>
      <c r="D24" s="66" t="s">
        <v>572</v>
      </c>
    </row>
    <row r="27" spans="1:4" ht="25.5" customHeight="1" x14ac:dyDescent="0.2">
      <c r="A27" s="73"/>
      <c r="B27" s="73"/>
      <c r="C27" s="73"/>
      <c r="D27" s="73"/>
    </row>
    <row r="28" spans="1:4" ht="21.75" customHeight="1" x14ac:dyDescent="0.2">
      <c r="A28" s="39" t="s">
        <v>573</v>
      </c>
    </row>
    <row r="29" spans="1:4" ht="18" customHeight="1" x14ac:dyDescent="0.2">
      <c r="A29" s="1" t="s">
        <v>256</v>
      </c>
      <c r="B29" s="1" t="s">
        <v>574</v>
      </c>
      <c r="C29" s="1" t="s">
        <v>575</v>
      </c>
      <c r="D29" s="1" t="s">
        <v>576</v>
      </c>
    </row>
    <row r="30" spans="1:4" ht="18" customHeight="1" x14ac:dyDescent="0.2">
      <c r="A30" s="68" t="s">
        <v>551</v>
      </c>
      <c r="B30" s="68">
        <v>50</v>
      </c>
      <c r="C30" s="68">
        <v>10</v>
      </c>
      <c r="D30" s="68">
        <v>0</v>
      </c>
    </row>
    <row r="31" spans="1:4" ht="18" customHeight="1" x14ac:dyDescent="0.2">
      <c r="A31" s="69" t="s">
        <v>577</v>
      </c>
      <c r="B31" s="69">
        <v>50</v>
      </c>
      <c r="C31" s="69">
        <v>15</v>
      </c>
      <c r="D31" s="69">
        <v>15</v>
      </c>
    </row>
    <row r="32" spans="1:4" ht="18" customHeight="1" x14ac:dyDescent="0.2">
      <c r="A32" s="68" t="s">
        <v>578</v>
      </c>
      <c r="B32" s="68">
        <v>50</v>
      </c>
      <c r="C32" s="68">
        <v>15</v>
      </c>
      <c r="D32" s="68">
        <v>0</v>
      </c>
    </row>
    <row r="33" spans="1:4" ht="18" customHeight="1" x14ac:dyDescent="0.2">
      <c r="A33" s="69" t="s">
        <v>579</v>
      </c>
      <c r="B33" s="69">
        <v>50</v>
      </c>
      <c r="C33" s="69">
        <v>15</v>
      </c>
      <c r="D33" s="69">
        <v>0</v>
      </c>
    </row>
    <row r="34" spans="1:4" ht="15" customHeight="1" x14ac:dyDescent="0.2">
      <c r="A34" s="68" t="s">
        <v>580</v>
      </c>
      <c r="B34" s="68">
        <v>50</v>
      </c>
      <c r="C34" s="68">
        <v>15</v>
      </c>
      <c r="D34" s="68">
        <v>0</v>
      </c>
    </row>
    <row r="36" spans="1:4" ht="24" customHeight="1" x14ac:dyDescent="0.2">
      <c r="A36" s="73"/>
      <c r="B36" s="73"/>
      <c r="C36" s="73"/>
      <c r="D36" s="73"/>
    </row>
    <row r="37" spans="1:4" ht="15.75" customHeight="1" x14ac:dyDescent="0.2">
      <c r="A37" s="39" t="s">
        <v>581</v>
      </c>
    </row>
    <row r="38" spans="1:4" ht="15.75" customHeight="1" x14ac:dyDescent="0.2">
      <c r="A38" s="34" t="s">
        <v>160</v>
      </c>
    </row>
    <row r="39" spans="1:4" ht="15.75" customHeight="1" x14ac:dyDescent="0.2">
      <c r="A39" s="36" t="s">
        <v>232</v>
      </c>
    </row>
    <row r="40" spans="1:4" ht="15.75" customHeight="1" x14ac:dyDescent="0.2">
      <c r="A40" s="34" t="s">
        <v>233</v>
      </c>
    </row>
    <row r="41" spans="1:4" ht="15.75" customHeight="1" x14ac:dyDescent="0.2">
      <c r="A41" s="36" t="s">
        <v>234</v>
      </c>
    </row>
    <row r="42" spans="1:4" ht="15.75" customHeight="1" x14ac:dyDescent="0.2">
      <c r="A42" s="34" t="s">
        <v>235</v>
      </c>
    </row>
    <row r="43" spans="1:4" ht="15.75" customHeight="1" x14ac:dyDescent="0.2">
      <c r="A43" s="36" t="s">
        <v>140</v>
      </c>
    </row>
    <row r="44" spans="1:4" ht="15.75" customHeight="1" x14ac:dyDescent="0.2">
      <c r="A44" s="34" t="s">
        <v>236</v>
      </c>
    </row>
    <row r="45" spans="1:4" ht="15.75" customHeight="1" x14ac:dyDescent="0.2">
      <c r="A45" s="36" t="s">
        <v>126</v>
      </c>
    </row>
    <row r="46" spans="1:4" ht="15.75" customHeight="1" x14ac:dyDescent="0.2">
      <c r="A46" s="34" t="s">
        <v>237</v>
      </c>
    </row>
    <row r="47" spans="1:4" ht="15.75" customHeight="1" x14ac:dyDescent="0.2">
      <c r="A47" s="36" t="s">
        <v>238</v>
      </c>
    </row>
    <row r="48" spans="1:4" ht="15.75" customHeight="1" x14ac:dyDescent="0.2">
      <c r="A48" s="34" t="s">
        <v>239</v>
      </c>
    </row>
    <row r="49" spans="1:1" ht="15.75" customHeight="1" x14ac:dyDescent="0.2">
      <c r="A49" s="36" t="s">
        <v>240</v>
      </c>
    </row>
    <row r="50" spans="1:1" ht="15.75" customHeight="1" x14ac:dyDescent="0.2">
      <c r="A50" s="34" t="s">
        <v>241</v>
      </c>
    </row>
    <row r="51" spans="1:1" ht="15.75" customHeight="1" x14ac:dyDescent="0.2">
      <c r="A51" s="36" t="s">
        <v>242</v>
      </c>
    </row>
    <row r="52" spans="1:1" ht="15.75" customHeight="1" x14ac:dyDescent="0.2">
      <c r="A52" s="34" t="s">
        <v>150</v>
      </c>
    </row>
    <row r="53" spans="1:1" ht="15.75" customHeight="1" x14ac:dyDescent="0.2">
      <c r="A53" s="36" t="s">
        <v>243</v>
      </c>
    </row>
    <row r="54" spans="1:1" ht="15" customHeight="1" x14ac:dyDescent="0.2">
      <c r="A54" s="70" t="s">
        <v>170</v>
      </c>
    </row>
    <row r="55" spans="1:1" ht="15" customHeight="1" x14ac:dyDescent="0.2">
      <c r="A55" s="34" t="s">
        <v>110</v>
      </c>
    </row>
  </sheetData>
  <sheetProtection password="E4E8" sheet="1"/>
  <mergeCells count="19">
    <mergeCell ref="C14:D14"/>
    <mergeCell ref="C4:D4"/>
    <mergeCell ref="C10:D10"/>
    <mergeCell ref="C16:D16"/>
    <mergeCell ref="C9:D9"/>
    <mergeCell ref="A36:D36"/>
    <mergeCell ref="A1:D1"/>
    <mergeCell ref="C12:D12"/>
    <mergeCell ref="C11:D11"/>
    <mergeCell ref="C8:D8"/>
    <mergeCell ref="A18:D18"/>
    <mergeCell ref="A27:D27"/>
    <mergeCell ref="C7:D7"/>
    <mergeCell ref="C13:D13"/>
    <mergeCell ref="A2:D2"/>
    <mergeCell ref="C3:D3"/>
    <mergeCell ref="C6:D6"/>
    <mergeCell ref="C15:D15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📋 Client Intake</vt:lpstr>
      <vt:lpstr>📊 Outcome Tracker</vt:lpstr>
      <vt:lpstr>🔀 Referral Tracker</vt:lpstr>
      <vt:lpstr>📅 Activities</vt:lpstr>
      <vt:lpstr>🙋 Volunteer Log</vt:lpstr>
      <vt:lpstr>🎓 Training Register</vt:lpstr>
      <vt:lpstr>📈 KPI Trends</vt:lpstr>
      <vt:lpstr>📝 Quarterly Report</vt:lpstr>
      <vt:lpstr>📖 Case Studies</vt:lpstr>
      <vt:lpstr>⚠ Risk Register</vt:lpstr>
      <vt:lpstr>⚙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freda Ritchie</cp:lastModifiedBy>
  <cp:revision>2</cp:revision>
  <dcterms:created xsi:type="dcterms:W3CDTF">2026-06-02T17:09:25Z</dcterms:created>
  <dcterms:modified xsi:type="dcterms:W3CDTF">2026-06-15T03:15:39Z</dcterms:modified>
  <dc:language>en-US</dc:language>
</cp:coreProperties>
</file>